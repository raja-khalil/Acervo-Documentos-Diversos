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rajak\Downloads\"/>
    </mc:Choice>
  </mc:AlternateContent>
  <xr:revisionPtr revIDLastSave="0" documentId="13_ncr:1_{2D459A41-AEFC-4A2A-846E-70D1743D0B61}" xr6:coauthVersionLast="47" xr6:coauthVersionMax="47" xr10:uidLastSave="{00000000-0000-0000-0000-000000000000}"/>
  <bookViews>
    <workbookView xWindow="20370" yWindow="-2100" windowWidth="21840" windowHeight="13020" xr2:uid="{FC458588-CE11-4B9B-A0B1-4A64D9E016E7}"/>
  </bookViews>
  <sheets>
    <sheet name="Transações" sheetId="2" r:id="rId1"/>
    <sheet name="Contas" sheetId="3" r:id="rId2"/>
    <sheet name="Dívidas" sheetId="8" r:id="rId3"/>
    <sheet name="Tipos de Renda" sheetId="5" r:id="rId4"/>
    <sheet name="Despesas Fixas" sheetId="6" r:id="rId5"/>
    <sheet name="Empresas de Trabalho" sheetId="7" r:id="rId6"/>
    <sheet name="ListaSuspensaTransacoes" sheetId="15" r:id="rId7"/>
    <sheet name="Família" sheetId="4" r:id="rId8"/>
    <sheet name="Controller" sheetId="11" r:id="rId9"/>
    <sheet name="Dashboard" sheetId="13" r:id="rId10"/>
  </sheets>
  <calcPr calcId="191029"/>
  <pivotCaches>
    <pivotCache cacheId="0" r:id="rId11"/>
    <pivotCache cacheId="5" r:id="rId12"/>
    <pivotCache cacheId="6" r:id="rId13"/>
    <pivotCache cacheId="3" r:id="rId14"/>
    <pivotCache cacheId="7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5" l="1"/>
  <c r="A3" i="15"/>
  <c r="A4" i="15"/>
</calcChain>
</file>

<file path=xl/sharedStrings.xml><?xml version="1.0" encoding="utf-8"?>
<sst xmlns="http://schemas.openxmlformats.org/spreadsheetml/2006/main" count="216" uniqueCount="109">
  <si>
    <t>ID_Transacao</t>
  </si>
  <si>
    <t>Data</t>
  </si>
  <si>
    <t>Descrição</t>
  </si>
  <si>
    <t>Valor</t>
  </si>
  <si>
    <t>Categoria</t>
  </si>
  <si>
    <t>ID_Conta</t>
  </si>
  <si>
    <t>ID_Membro_Familia</t>
  </si>
  <si>
    <t>ID_Tipo_Renda</t>
  </si>
  <si>
    <t>Nome_Conta</t>
  </si>
  <si>
    <t>Tipo</t>
  </si>
  <si>
    <t>Banco</t>
  </si>
  <si>
    <t>Numero_Agencia</t>
  </si>
  <si>
    <t>Numero_Conta</t>
  </si>
  <si>
    <t>Nome</t>
  </si>
  <si>
    <t>Relação</t>
  </si>
  <si>
    <t>ID_Despesa</t>
  </si>
  <si>
    <t>Frequência</t>
  </si>
  <si>
    <t>ID_Empresa</t>
  </si>
  <si>
    <t>Nome_Empresa</t>
  </si>
  <si>
    <t>ID_Dívida</t>
  </si>
  <si>
    <t>Status</t>
  </si>
  <si>
    <t>Receita</t>
  </si>
  <si>
    <t>Pessoal</t>
  </si>
  <si>
    <t>56789-0</t>
  </si>
  <si>
    <t>Empresarial</t>
  </si>
  <si>
    <t>Marido</t>
  </si>
  <si>
    <t>Consultor</t>
  </si>
  <si>
    <t>Esposa</t>
  </si>
  <si>
    <t>Fisioterapeuta</t>
  </si>
  <si>
    <t>Filho</t>
  </si>
  <si>
    <t>Estudante</t>
  </si>
  <si>
    <t>Fixa</t>
  </si>
  <si>
    <t>Variável</t>
  </si>
  <si>
    <t>Mensalidade Escolar</t>
  </si>
  <si>
    <t>Mensal</t>
  </si>
  <si>
    <t>Financiamento Habitação</t>
  </si>
  <si>
    <t>Consultoria ABC</t>
  </si>
  <si>
    <t>Consultoria</t>
  </si>
  <si>
    <t>Empresa de Marketing XYZ</t>
  </si>
  <si>
    <t>Marketing</t>
  </si>
  <si>
    <t>Ativa</t>
  </si>
  <si>
    <t>67890-1</t>
  </si>
  <si>
    <t>Transação 1</t>
  </si>
  <si>
    <t>Despesa</t>
  </si>
  <si>
    <t>Transação 2</t>
  </si>
  <si>
    <t>Transação 3</t>
  </si>
  <si>
    <t>Transação 4</t>
  </si>
  <si>
    <t>Transação 5</t>
  </si>
  <si>
    <t>Transação 6</t>
  </si>
  <si>
    <t>Transação 7</t>
  </si>
  <si>
    <t>Transação 8</t>
  </si>
  <si>
    <t>Transação 9</t>
  </si>
  <si>
    <t>Transação 10</t>
  </si>
  <si>
    <t>Transação 11</t>
  </si>
  <si>
    <t>Transação 12</t>
  </si>
  <si>
    <t>Transação 13</t>
  </si>
  <si>
    <t>Transação 14</t>
  </si>
  <si>
    <t>Transação 15</t>
  </si>
  <si>
    <t>Transação 16</t>
  </si>
  <si>
    <t>Transação 17</t>
  </si>
  <si>
    <t>Transação 18</t>
  </si>
  <si>
    <t>Transação 19</t>
  </si>
  <si>
    <t>Transação 20</t>
  </si>
  <si>
    <t>Transação 21</t>
  </si>
  <si>
    <t>Transação 22</t>
  </si>
  <si>
    <t>Transação 23</t>
  </si>
  <si>
    <t>Transação 24</t>
  </si>
  <si>
    <t>Transação 25</t>
  </si>
  <si>
    <t>Transação 26</t>
  </si>
  <si>
    <t>Transação 27</t>
  </si>
  <si>
    <t>Transação 28</t>
  </si>
  <si>
    <t>Transação 29</t>
  </si>
  <si>
    <t>Transação 30</t>
  </si>
  <si>
    <t>Conta Corrente Marido</t>
  </si>
  <si>
    <t>Banco A</t>
  </si>
  <si>
    <t>Conta Poupança Marido</t>
  </si>
  <si>
    <t>Banco B</t>
  </si>
  <si>
    <t>Conta Corrente Esposa</t>
  </si>
  <si>
    <t>Banco C</t>
  </si>
  <si>
    <t>78901-2</t>
  </si>
  <si>
    <t>Conta Empresarial</t>
  </si>
  <si>
    <t>Banco D</t>
  </si>
  <si>
    <t>89012-3</t>
  </si>
  <si>
    <t>Conta Emergencial</t>
  </si>
  <si>
    <t>Banco E</t>
  </si>
  <si>
    <t>90123-4</t>
  </si>
  <si>
    <t>Plano de Saúde</t>
  </si>
  <si>
    <t>Internet e Telefone</t>
  </si>
  <si>
    <t>Homecare Saúde</t>
  </si>
  <si>
    <t>Fisioterapia</t>
  </si>
  <si>
    <t>Dívida 1</t>
  </si>
  <si>
    <t>Quitada</t>
  </si>
  <si>
    <t>Dívida 2</t>
  </si>
  <si>
    <t>Dívida 3</t>
  </si>
  <si>
    <t>Dívida 4</t>
  </si>
  <si>
    <t>Dívida 5</t>
  </si>
  <si>
    <t>Dívida 6</t>
  </si>
  <si>
    <t>Dívida 7</t>
  </si>
  <si>
    <t>Dívida 8</t>
  </si>
  <si>
    <t>Dívida 9</t>
  </si>
  <si>
    <t>Dívida 10</t>
  </si>
  <si>
    <t>Rótulos de Linha</t>
  </si>
  <si>
    <t>Total Geral</t>
  </si>
  <si>
    <t>Soma de Valor</t>
  </si>
  <si>
    <t>Mês</t>
  </si>
  <si>
    <t>Ano</t>
  </si>
  <si>
    <t>(Tudo)</t>
  </si>
  <si>
    <t>Investimento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</si>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</sst>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R$&quot;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C8C8C8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4" fontId="0" fillId="0" borderId="0" xfId="0" applyNumberFormat="1"/>
    <xf numFmtId="0" fontId="0" fillId="2" borderId="0" xfId="0" applyFill="1"/>
    <xf numFmtId="0" fontId="0" fillId="3" borderId="0" xfId="0" applyFill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Protection="1"/>
    <xf numFmtId="0" fontId="1" fillId="4" borderId="1" xfId="0" applyFont="1" applyFill="1" applyBorder="1" applyProtection="1"/>
    <xf numFmtId="0" fontId="1" fillId="4" borderId="1" xfId="0" applyFont="1" applyFill="1" applyBorder="1" applyProtection="1">
      <protection locked="0"/>
    </xf>
    <xf numFmtId="0" fontId="1" fillId="4" borderId="1" xfId="0" applyFont="1" applyFill="1" applyBorder="1"/>
    <xf numFmtId="0" fontId="1" fillId="4" borderId="1" xfId="0" applyFont="1" applyFill="1" applyBorder="1" applyAlignment="1">
      <alignment horizontal="left"/>
    </xf>
    <xf numFmtId="164" fontId="1" fillId="4" borderId="1" xfId="0" applyNumberFormat="1" applyFont="1" applyFill="1" applyBorder="1" applyProtection="1">
      <protection locked="0"/>
    </xf>
    <xf numFmtId="164" fontId="0" fillId="0" borderId="0" xfId="0" applyNumberFormat="1" applyProtection="1">
      <protection locked="0"/>
    </xf>
  </cellXfs>
  <cellStyles count="1">
    <cellStyle name="Normal" xfId="0" builtinId="0"/>
  </cellStyles>
  <dxfs count="60">
    <dxf>
      <numFmt numFmtId="164" formatCode="#,##0.00\ &quot;R$&quot;"/>
      <protection locked="0" hidden="0"/>
    </dxf>
    <dxf>
      <protection locked="0" hidden="0"/>
    </dxf>
    <dxf>
      <protection locked="0" hidden="0"/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bgColor rgb="FFC8C8C8"/>
        </patternFill>
      </fill>
    </dxf>
    <dxf>
      <fill>
        <patternFill patternType="solid">
          <bgColor rgb="FFC8C8C8"/>
        </patternFill>
      </fill>
    </dxf>
    <dxf>
      <font>
        <b/>
      </font>
    </dxf>
    <dxf>
      <font>
        <b/>
      </font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rgb="FFC8C8C8"/>
        </patternFill>
      </fill>
      <protection locked="0" hidden="0"/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rgb="FFC8C8C8"/>
        </patternFill>
      </fill>
      <protection locked="0" hidden="0"/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rgb="FFC8C8C8"/>
        </patternFill>
      </fill>
      <protection locked="0" hidden="0"/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rgb="FFC8C8C8"/>
        </patternFill>
      </fill>
      <protection locked="0" hidden="0"/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rgb="FFC8C8C8"/>
        </patternFill>
      </fill>
      <protection locked="0" hidden="0"/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rgb="FFC8C8C8"/>
        </patternFill>
      </fill>
      <protection locked="0" hidden="0"/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rgb="FFC8C8C8"/>
        </patternFill>
      </fill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colors>
    <mruColors>
      <color rgb="FF46B1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[teste planilha financeira.v3.7.4.xlsm]Controller!ResumoReceitasDespesas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rgbClr val="46B1E1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3.8461538461538464E-2"/>
          <c:y val="7.9824498810832797E-2"/>
          <c:w val="0.90202611937676314"/>
          <c:h val="0.858637152021809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Controller!$B$4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6B1E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509-4D15-8990-58C3A76A19F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F509-4D15-8990-58C3A76A19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Controller!$A$5:$A$7</c:f>
              <c:strCache>
                <c:ptCount val="2"/>
                <c:pt idx="0">
                  <c:v>Despesa</c:v>
                </c:pt>
                <c:pt idx="1">
                  <c:v>Receita</c:v>
                </c:pt>
              </c:strCache>
            </c:strRef>
          </c:cat>
          <c:val>
            <c:numRef>
              <c:f>Controller!$B$5:$B$7</c:f>
              <c:numCache>
                <c:formatCode>General</c:formatCode>
                <c:ptCount val="2"/>
                <c:pt idx="0">
                  <c:v>-27196</c:v>
                </c:pt>
                <c:pt idx="1">
                  <c:v>41470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D-4A81-8408-44539A90A39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290951680"/>
        <c:axId val="290958880"/>
      </c:barChart>
      <c:catAx>
        <c:axId val="290951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cap="all" spc="120" normalizeH="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0958880"/>
        <c:crosses val="autoZero"/>
        <c:auto val="1"/>
        <c:lblAlgn val="ctr"/>
        <c:lblOffset val="100"/>
        <c:noMultiLvlLbl val="0"/>
      </c:catAx>
      <c:valAx>
        <c:axId val="2909588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9095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[teste planilha financeira.v3.7.4.xlsm]Controller!ResumoDividas</c:name>
    <c:fmtId val="4"/>
  </c:pivotSource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46B1E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Controller!$B$15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46B1E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Controller!$A$16:$A$21</c:f>
              <c:strCache>
                <c:ptCount val="5"/>
                <c:pt idx="0">
                  <c:v>Dívida 2</c:v>
                </c:pt>
                <c:pt idx="1">
                  <c:v>Dívida 6</c:v>
                </c:pt>
                <c:pt idx="2">
                  <c:v>Dívida 10</c:v>
                </c:pt>
                <c:pt idx="3">
                  <c:v>Dívida 8</c:v>
                </c:pt>
                <c:pt idx="4">
                  <c:v>Dívida 4</c:v>
                </c:pt>
              </c:strCache>
            </c:strRef>
          </c:cat>
          <c:val>
            <c:numRef>
              <c:f>Controller!$B$16:$B$21</c:f>
              <c:numCache>
                <c:formatCode>General</c:formatCode>
                <c:ptCount val="5"/>
                <c:pt idx="0">
                  <c:v>645</c:v>
                </c:pt>
                <c:pt idx="1">
                  <c:v>1087</c:v>
                </c:pt>
                <c:pt idx="2">
                  <c:v>4651</c:v>
                </c:pt>
                <c:pt idx="3">
                  <c:v>14256</c:v>
                </c:pt>
                <c:pt idx="4">
                  <c:v>15536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62-4A5C-85B3-D1C81AB25A5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2844208"/>
        <c:axId val="152841808"/>
      </c:barChart>
      <c:catAx>
        <c:axId val="1528442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2841808"/>
        <c:crosses val="autoZero"/>
        <c:auto val="1"/>
        <c:lblAlgn val="ctr"/>
        <c:lblOffset val="100"/>
        <c:noMultiLvlLbl val="0"/>
      </c:catAx>
      <c:valAx>
        <c:axId val="15284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2844208"/>
        <c:crosses val="autoZero"/>
        <c:crossBetween val="between"/>
      </c:valAx>
      <c:spPr>
        <a:noFill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[teste planilha financeira.v3.7.4.xlsm]Controller!TransacoesPorConta</c:name>
    <c:fmtId val="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46B1E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Controller!$E$1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46B1E1"/>
            </a:solidFill>
            <a:ln>
              <a:noFill/>
            </a:ln>
            <a:effectLst/>
          </c:spPr>
          <c:invertIfNegative val="0"/>
          <c:cat>
            <c:strRef>
              <c:f>Controller!$D$2:$D$7</c:f>
              <c:strCache>
                <c:ptCount val="5"/>
                <c:pt idx="0">
                  <c:v>Conta Corrente Marido</c:v>
                </c:pt>
                <c:pt idx="1">
                  <c:v>Conta Poupança Marido</c:v>
                </c:pt>
                <c:pt idx="2">
                  <c:v>Conta Corrente Esposa</c:v>
                </c:pt>
                <c:pt idx="3">
                  <c:v>Conta Empresarial</c:v>
                </c:pt>
                <c:pt idx="4">
                  <c:v>Conta Emergencial</c:v>
                </c:pt>
              </c:strCache>
            </c:strRef>
          </c:cat>
          <c:val>
            <c:numRef>
              <c:f>Controller!$E$2:$E$7</c:f>
              <c:numCache>
                <c:formatCode>#,##0.00</c:formatCode>
                <c:ptCount val="5"/>
                <c:pt idx="0">
                  <c:v>4593</c:v>
                </c:pt>
                <c:pt idx="1">
                  <c:v>2857</c:v>
                </c:pt>
                <c:pt idx="2">
                  <c:v>-8916</c:v>
                </c:pt>
                <c:pt idx="3">
                  <c:v>16990</c:v>
                </c:pt>
                <c:pt idx="4">
                  <c:v>-1250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69-4CA8-9671-53AC77AA8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44028000"/>
        <c:axId val="444021760"/>
      </c:barChart>
      <c:catAx>
        <c:axId val="444028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4021760"/>
        <c:crosses val="autoZero"/>
        <c:auto val="1"/>
        <c:lblAlgn val="ctr"/>
        <c:lblOffset val="100"/>
        <c:noMultiLvlLbl val="0"/>
      </c:catAx>
      <c:valAx>
        <c:axId val="444021760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44402800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[teste planilha financeira.v3.7.4.xlsm]Controller!ReceitasPorFonteDeRenda</c:name>
    <c:fmtId val="2"/>
  </c:pivotSource>
  <c:chart>
    <c:autoTitleDeleted val="1"/>
    <c:pivotFmts>
      <c:pivotFmt>
        <c:idx val="0"/>
      </c:pivotFmt>
      <c:pivotFmt>
        <c:idx val="1"/>
      </c:pivotFmt>
      <c:pivotFmt>
        <c:idx val="2"/>
        <c:spPr>
          <a:solidFill>
            <a:srgbClr val="46B1E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Controller!$H$6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46B1E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Controller!$G$7:$G$20</c:f>
              <c:strCache>
                <c:ptCount val="13"/>
                <c:pt idx="0">
                  <c:v>Transação 1</c:v>
                </c:pt>
                <c:pt idx="1">
                  <c:v>Transação 10</c:v>
                </c:pt>
                <c:pt idx="2">
                  <c:v>Transação 11</c:v>
                </c:pt>
                <c:pt idx="3">
                  <c:v>Transação 12</c:v>
                </c:pt>
                <c:pt idx="4">
                  <c:v>Transação 18</c:v>
                </c:pt>
                <c:pt idx="5">
                  <c:v>Transação 19</c:v>
                </c:pt>
                <c:pt idx="6">
                  <c:v>Transação 2</c:v>
                </c:pt>
                <c:pt idx="7">
                  <c:v>Transação 22</c:v>
                </c:pt>
                <c:pt idx="8">
                  <c:v>Transação 23</c:v>
                </c:pt>
                <c:pt idx="9">
                  <c:v>Transação 24</c:v>
                </c:pt>
                <c:pt idx="10">
                  <c:v>Transação 30</c:v>
                </c:pt>
                <c:pt idx="11">
                  <c:v>Transação 7</c:v>
                </c:pt>
                <c:pt idx="12">
                  <c:v>Transação 9</c:v>
                </c:pt>
              </c:strCache>
            </c:strRef>
          </c:cat>
          <c:val>
            <c:numRef>
              <c:f>Controller!$H$7:$H$20</c:f>
              <c:numCache>
                <c:formatCode>#,##0.00</c:formatCode>
                <c:ptCount val="13"/>
                <c:pt idx="0">
                  <c:v>-1564</c:v>
                </c:pt>
                <c:pt idx="1">
                  <c:v>2632</c:v>
                </c:pt>
                <c:pt idx="2">
                  <c:v>-920</c:v>
                </c:pt>
                <c:pt idx="3">
                  <c:v>845</c:v>
                </c:pt>
                <c:pt idx="4">
                  <c:v>4356</c:v>
                </c:pt>
                <c:pt idx="5">
                  <c:v>-733</c:v>
                </c:pt>
                <c:pt idx="6">
                  <c:v>2118</c:v>
                </c:pt>
                <c:pt idx="7">
                  <c:v>3069</c:v>
                </c:pt>
                <c:pt idx="8">
                  <c:v>-1522</c:v>
                </c:pt>
                <c:pt idx="9">
                  <c:v>2171</c:v>
                </c:pt>
                <c:pt idx="10">
                  <c:v>975</c:v>
                </c:pt>
                <c:pt idx="11">
                  <c:v>-3018</c:v>
                </c:pt>
                <c:pt idx="12">
                  <c:v>-271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5C-4D2B-B491-EAA697E4AD1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44018880"/>
        <c:axId val="444023200"/>
      </c:barChart>
      <c:catAx>
        <c:axId val="44401888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44023200"/>
        <c:crosses val="autoZero"/>
        <c:auto val="1"/>
        <c:lblAlgn val="ctr"/>
        <c:lblOffset val="100"/>
        <c:noMultiLvlLbl val="0"/>
      </c:catAx>
      <c:valAx>
        <c:axId val="444023200"/>
        <c:scaling>
          <c:orientation val="minMax"/>
        </c:scaling>
        <c:delete val="0"/>
        <c:axPos val="b"/>
        <c:majorGridlines/>
        <c:numFmt formatCode="#,##0.00" sourceLinked="1"/>
        <c:majorTickMark val="out"/>
        <c:minorTickMark val="none"/>
        <c:tickLblPos val="low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4401888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[teste planilha financeira.v3.7.4.xlsm]Controller!DespesasFixasPorCategoria</c:name>
    <c:fmtId val="3"/>
  </c:pivotSource>
  <c:chart>
    <c:autoTitleDeleted val="1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>
            <a:solidFill>
              <a:schemeClr val="bg2"/>
            </a:solidFill>
          </a:ln>
        </c:spPr>
        <c:marker>
          <c:spPr>
            <a:solidFill>
              <a:schemeClr val="bg1"/>
            </a:solidFill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Controller!$K$3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bg2"/>
              </a:solidFill>
            </a:ln>
          </c:spPr>
          <c:marker>
            <c:spPr>
              <a:solidFill>
                <a:schemeClr val="bg1"/>
              </a:solidFill>
            </c:spPr>
          </c:marker>
          <c:cat>
            <c:strRef>
              <c:f>Controller!$J$4:$J$8</c:f>
              <c:strCache>
                <c:ptCount val="4"/>
                <c:pt idx="0">
                  <c:v>Financiamento Habitação</c:v>
                </c:pt>
                <c:pt idx="1">
                  <c:v>Internet e Telefone</c:v>
                </c:pt>
                <c:pt idx="2">
                  <c:v>Mensalidade Escolar</c:v>
                </c:pt>
                <c:pt idx="3">
                  <c:v>Plano de Saúde</c:v>
                </c:pt>
              </c:strCache>
            </c:strRef>
          </c:cat>
          <c:val>
            <c:numRef>
              <c:f>Controller!$K$4:$K$8</c:f>
              <c:numCache>
                <c:formatCode>#,##0.00</c:formatCode>
                <c:ptCount val="4"/>
                <c:pt idx="0">
                  <c:v>2500</c:v>
                </c:pt>
                <c:pt idx="1">
                  <c:v>200</c:v>
                </c:pt>
                <c:pt idx="2">
                  <c:v>1200</c:v>
                </c:pt>
                <c:pt idx="3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B7-476C-B05E-FF554B208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645664"/>
        <c:axId val="465639904"/>
      </c:lineChart>
      <c:catAx>
        <c:axId val="465645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65639904"/>
        <c:crosses val="autoZero"/>
        <c:auto val="1"/>
        <c:lblAlgn val="ctr"/>
        <c:lblOffset val="100"/>
        <c:noMultiLvlLbl val="0"/>
      </c:catAx>
      <c:valAx>
        <c:axId val="465639904"/>
        <c:scaling>
          <c:orientation val="minMax"/>
        </c:scaling>
        <c:delete val="0"/>
        <c:axPos val="l"/>
        <c:numFmt formatCode="#,##0.00" sourceLinked="1"/>
        <c:majorTickMark val="out"/>
        <c:minorTickMark val="none"/>
        <c:tickLblPos val="nextTo"/>
        <c:spPr>
          <a:noFill/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65645664"/>
        <c:crosses val="autoZero"/>
        <c:crossBetween val="between"/>
      </c:valAx>
      <c:spPr>
        <a:noFill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Drop" dropStyle="combo" dx="22" noThreeD="1" sel="1" val="0">
  <itemLst>
    <item val="2024"/>
  </itemLst>
</formControlPr>
</file>

<file path=xl/ctrlProps/ctrlProp2.xml><?xml version="1.0" encoding="utf-8"?>
<formControlPr xmlns="http://schemas.microsoft.com/office/spreadsheetml/2009/9/main" objectType="Drop" dropStyle="combo" dx="22" noThreeD="1" sel="1" val="0">
  <itemLst>
    <item val="Ativa"/>
    <item val="Quitada"/>
  </itemLst>
</formControlPr>
</file>

<file path=xl/ctrlProps/ctrlProp3.xml><?xml version="1.0" encoding="utf-8"?>
<formControlPr xmlns="http://schemas.microsoft.com/office/spreadsheetml/2009/9/main" objectType="Drop" dropStyle="combo" dx="22" noThreeD="1" sel="1" val="0">
  <itemLst>
    <item val="1"/>
  </itemLst>
</formControlPr>
</file>

<file path=xl/ctrlProps/ctrlProp4.xml><?xml version="1.0" encoding="utf-8"?>
<formControlPr xmlns="http://schemas.microsoft.com/office/spreadsheetml/2009/9/main" objectType="Drop" dropStyle="combo" dx="22" noThreeD="1" sel="2" val="0">
  <itemLst>
    <item val="Marido"/>
    <item val="Esposa"/>
    <item val="Filho"/>
    <item val=""/>
  </itemLst>
</formControlPr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336735</xdr:colOff>
      <xdr:row>5</xdr:row>
      <xdr:rowOff>3922</xdr:rowOff>
    </xdr:from>
    <xdr:to>
      <xdr:col>7</xdr:col>
      <xdr:colOff>306029</xdr:colOff>
      <xdr:row>16</xdr:row>
      <xdr:rowOff>68422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C2EDE65C-8E00-772C-1E48-C54A1E26B8F1}"/>
            </a:ext>
          </a:extLst>
        </xdr:cNvPr>
        <xdr:cNvGrpSpPr/>
      </xdr:nvGrpSpPr>
      <xdr:grpSpPr>
        <a:xfrm>
          <a:off x="2208117" y="956422"/>
          <a:ext cx="3600000" cy="2160000"/>
          <a:chOff x="2105024" y="323850"/>
          <a:chExt cx="3743326" cy="2440141"/>
        </a:xfrm>
      </xdr:grpSpPr>
      <xdr:grpSp>
        <xdr:nvGrpSpPr>
          <xdr:cNvPr id="24" name="Agrupar 23">
            <a:extLst>
              <a:ext uri="{FF2B5EF4-FFF2-40B4-BE49-F238E27FC236}">
                <a16:creationId xmlns:a16="http://schemas.microsoft.com/office/drawing/2014/main" id="{96859C13-A5DE-FEB9-6C5F-B6AF10320C50}"/>
              </a:ext>
            </a:extLst>
          </xdr:cNvPr>
          <xdr:cNvGrpSpPr/>
        </xdr:nvGrpSpPr>
        <xdr:grpSpPr>
          <a:xfrm>
            <a:off x="2105024" y="323850"/>
            <a:ext cx="3743326" cy="2428875"/>
            <a:chOff x="2057399" y="266700"/>
            <a:chExt cx="3743326" cy="2428875"/>
          </a:xfrm>
        </xdr:grpSpPr>
        <xdr:sp macro="" textlink="">
          <xdr:nvSpPr>
            <xdr:cNvPr id="21" name="Retângulo: Cantos Arredondados 20">
              <a:extLst>
                <a:ext uri="{FF2B5EF4-FFF2-40B4-BE49-F238E27FC236}">
                  <a16:creationId xmlns:a16="http://schemas.microsoft.com/office/drawing/2014/main" id="{61EF98A5-1613-68F9-08B8-4EC8CCB9E3B6}"/>
                </a:ext>
              </a:extLst>
            </xdr:cNvPr>
            <xdr:cNvSpPr/>
          </xdr:nvSpPr>
          <xdr:spPr>
            <a:xfrm>
              <a:off x="2076450" y="285750"/>
              <a:ext cx="3714750" cy="2409825"/>
            </a:xfrm>
            <a:prstGeom prst="roundRect">
              <a:avLst/>
            </a:prstGeom>
            <a:solidFill>
              <a:srgbClr val="002060"/>
            </a:solidFill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">
          <xdr:nvSpPr>
            <xdr:cNvPr id="22" name="Retângulo: Cantos Superiores Arredondados 21">
              <a:extLst>
                <a:ext uri="{FF2B5EF4-FFF2-40B4-BE49-F238E27FC236}">
                  <a16:creationId xmlns:a16="http://schemas.microsoft.com/office/drawing/2014/main" id="{472D9491-1AC8-068F-043E-69411C1CF1E1}"/>
                </a:ext>
              </a:extLst>
            </xdr:cNvPr>
            <xdr:cNvSpPr/>
          </xdr:nvSpPr>
          <xdr:spPr>
            <a:xfrm>
              <a:off x="2057399" y="266700"/>
              <a:ext cx="3743326" cy="628650"/>
            </a:xfrm>
            <a:prstGeom prst="round2SameRect">
              <a:avLst>
                <a:gd name="adj1" fmla="val 44836"/>
                <a:gd name="adj2" fmla="val 0"/>
              </a:avLst>
            </a:prstGeom>
            <a:solidFill>
              <a:schemeClr val="bg2">
                <a:lumMod val="9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</xdr:grpSp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4F3E70F8-1445-47D9-BF1C-44EC2752AEBA}"/>
              </a:ext>
            </a:extLst>
          </xdr:cNvPr>
          <xdr:cNvGraphicFramePr>
            <a:graphicFrameLocks/>
          </xdr:cNvGraphicFramePr>
        </xdr:nvGraphicFramePr>
        <xdr:xfrm>
          <a:off x="2255920" y="735265"/>
          <a:ext cx="3519468" cy="20287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</xdr:grpSp>
    <xdr:clientData/>
  </xdr:twoCellAnchor>
  <xdr:twoCellAnchor>
    <xdr:from>
      <xdr:col>8</xdr:col>
      <xdr:colOff>97490</xdr:colOff>
      <xdr:row>19</xdr:row>
      <xdr:rowOff>24093</xdr:rowOff>
    </xdr:from>
    <xdr:to>
      <xdr:col>14</xdr:col>
      <xdr:colOff>66784</xdr:colOff>
      <xdr:row>30</xdr:row>
      <xdr:rowOff>88593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2A5E916F-3F14-3C32-E3F1-7B5943C01B44}"/>
            </a:ext>
          </a:extLst>
        </xdr:cNvPr>
        <xdr:cNvGrpSpPr/>
      </xdr:nvGrpSpPr>
      <xdr:grpSpPr>
        <a:xfrm>
          <a:off x="6204696" y="3643593"/>
          <a:ext cx="3600000" cy="2160000"/>
          <a:chOff x="6238874" y="2619375"/>
          <a:chExt cx="3743326" cy="2428875"/>
        </a:xfrm>
      </xdr:grpSpPr>
      <xdr:grpSp>
        <xdr:nvGrpSpPr>
          <xdr:cNvPr id="25" name="Agrupar 24">
            <a:extLst>
              <a:ext uri="{FF2B5EF4-FFF2-40B4-BE49-F238E27FC236}">
                <a16:creationId xmlns:a16="http://schemas.microsoft.com/office/drawing/2014/main" id="{0755C531-0F77-4062-9136-B859AE18B0FF}"/>
              </a:ext>
            </a:extLst>
          </xdr:cNvPr>
          <xdr:cNvGrpSpPr/>
        </xdr:nvGrpSpPr>
        <xdr:grpSpPr>
          <a:xfrm>
            <a:off x="6238874" y="2619375"/>
            <a:ext cx="3743326" cy="2428875"/>
            <a:chOff x="2057399" y="266700"/>
            <a:chExt cx="3743326" cy="2428875"/>
          </a:xfrm>
        </xdr:grpSpPr>
        <xdr:sp macro="" textlink="">
          <xdr:nvSpPr>
            <xdr:cNvPr id="26" name="Retângulo: Cantos Arredondados 25">
              <a:extLst>
                <a:ext uri="{FF2B5EF4-FFF2-40B4-BE49-F238E27FC236}">
                  <a16:creationId xmlns:a16="http://schemas.microsoft.com/office/drawing/2014/main" id="{F8C1D6C2-9125-8D69-7CD2-0D46E6558BB7}"/>
                </a:ext>
              </a:extLst>
            </xdr:cNvPr>
            <xdr:cNvSpPr/>
          </xdr:nvSpPr>
          <xdr:spPr>
            <a:xfrm>
              <a:off x="2076450" y="285750"/>
              <a:ext cx="3714750" cy="2409825"/>
            </a:xfrm>
            <a:prstGeom prst="roundRect">
              <a:avLst/>
            </a:prstGeom>
            <a:solidFill>
              <a:srgbClr val="002060"/>
            </a:solidFill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">
          <xdr:nvSpPr>
            <xdr:cNvPr id="27" name="Retângulo: Cantos Superiores Arredondados 26">
              <a:extLst>
                <a:ext uri="{FF2B5EF4-FFF2-40B4-BE49-F238E27FC236}">
                  <a16:creationId xmlns:a16="http://schemas.microsoft.com/office/drawing/2014/main" id="{8A9E731D-035A-1A5C-FD80-588058E0E8A4}"/>
                </a:ext>
              </a:extLst>
            </xdr:cNvPr>
            <xdr:cNvSpPr/>
          </xdr:nvSpPr>
          <xdr:spPr>
            <a:xfrm>
              <a:off x="2057399" y="266700"/>
              <a:ext cx="3743326" cy="628650"/>
            </a:xfrm>
            <a:prstGeom prst="round2SameRect">
              <a:avLst>
                <a:gd name="adj1" fmla="val 44836"/>
                <a:gd name="adj2" fmla="val 0"/>
              </a:avLst>
            </a:prstGeom>
            <a:solidFill>
              <a:schemeClr val="bg2">
                <a:lumMod val="9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98F8FD7F-9003-47FF-9353-D1C6750328A0}"/>
              </a:ext>
            </a:extLst>
          </xdr:cNvPr>
          <xdr:cNvGraphicFramePr>
            <a:graphicFrameLocks/>
          </xdr:cNvGraphicFramePr>
        </xdr:nvGraphicFramePr>
        <xdr:xfrm>
          <a:off x="6438900" y="3343275"/>
          <a:ext cx="3286125" cy="164238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8</xdr:col>
      <xdr:colOff>150157</xdr:colOff>
      <xdr:row>4</xdr:row>
      <xdr:rowOff>183216</xdr:rowOff>
    </xdr:from>
    <xdr:to>
      <xdr:col>14</xdr:col>
      <xdr:colOff>119451</xdr:colOff>
      <xdr:row>16</xdr:row>
      <xdr:rowOff>57216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48F0E4DD-5AE6-E2F9-C7CF-B3BFC56F8580}"/>
            </a:ext>
          </a:extLst>
        </xdr:cNvPr>
        <xdr:cNvGrpSpPr/>
      </xdr:nvGrpSpPr>
      <xdr:grpSpPr>
        <a:xfrm>
          <a:off x="6257363" y="945216"/>
          <a:ext cx="3600000" cy="2160000"/>
          <a:chOff x="5988422" y="172010"/>
          <a:chExt cx="3711950" cy="2428875"/>
        </a:xfrm>
      </xdr:grpSpPr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id="{8760E688-A688-4D22-A884-BCE00135170C}"/>
              </a:ext>
            </a:extLst>
          </xdr:cNvPr>
          <xdr:cNvGrpSpPr/>
        </xdr:nvGrpSpPr>
        <xdr:grpSpPr>
          <a:xfrm>
            <a:off x="5988422" y="172010"/>
            <a:ext cx="3711950" cy="2428875"/>
            <a:chOff x="2057399" y="266700"/>
            <a:chExt cx="3743326" cy="2428875"/>
          </a:xfrm>
        </xdr:grpSpPr>
        <xdr:sp macro="" textlink="">
          <xdr:nvSpPr>
            <xdr:cNvPr id="34" name="Retângulo: Cantos Arredondados 33">
              <a:extLst>
                <a:ext uri="{FF2B5EF4-FFF2-40B4-BE49-F238E27FC236}">
                  <a16:creationId xmlns:a16="http://schemas.microsoft.com/office/drawing/2014/main" id="{5B0B4D53-5C9D-C09E-EEDE-B01667DEA4CE}"/>
                </a:ext>
              </a:extLst>
            </xdr:cNvPr>
            <xdr:cNvSpPr/>
          </xdr:nvSpPr>
          <xdr:spPr>
            <a:xfrm>
              <a:off x="2076450" y="285750"/>
              <a:ext cx="3714750" cy="2409825"/>
            </a:xfrm>
            <a:prstGeom prst="roundRect">
              <a:avLst/>
            </a:prstGeom>
            <a:solidFill>
              <a:srgbClr val="002060"/>
            </a:solidFill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">
          <xdr:nvSpPr>
            <xdr:cNvPr id="35" name="Retângulo: Cantos Superiores Arredondados 34">
              <a:extLst>
                <a:ext uri="{FF2B5EF4-FFF2-40B4-BE49-F238E27FC236}">
                  <a16:creationId xmlns:a16="http://schemas.microsoft.com/office/drawing/2014/main" id="{6458F78F-6BF2-D87A-68F5-7AF78384955D}"/>
                </a:ext>
              </a:extLst>
            </xdr:cNvPr>
            <xdr:cNvSpPr/>
          </xdr:nvSpPr>
          <xdr:spPr>
            <a:xfrm>
              <a:off x="2057399" y="266700"/>
              <a:ext cx="3743326" cy="628650"/>
            </a:xfrm>
            <a:prstGeom prst="round2SameRect">
              <a:avLst>
                <a:gd name="adj1" fmla="val 44836"/>
                <a:gd name="adj2" fmla="val 0"/>
              </a:avLst>
            </a:prstGeom>
            <a:solidFill>
              <a:schemeClr val="bg2">
                <a:lumMod val="9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</xdr:grpSp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FD72938C-6366-4F09-ACF0-2C4B3B353A8A}"/>
              </a:ext>
            </a:extLst>
          </xdr:cNvPr>
          <xdr:cNvGraphicFramePr>
            <a:graphicFrameLocks/>
          </xdr:cNvGraphicFramePr>
        </xdr:nvGraphicFramePr>
        <xdr:xfrm>
          <a:off x="6112808" y="795618"/>
          <a:ext cx="3400986" cy="16960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14</xdr:col>
      <xdr:colOff>575421</xdr:colOff>
      <xdr:row>4</xdr:row>
      <xdr:rowOff>123265</xdr:rowOff>
    </xdr:from>
    <xdr:to>
      <xdr:col>20</xdr:col>
      <xdr:colOff>544715</xdr:colOff>
      <xdr:row>30</xdr:row>
      <xdr:rowOff>28707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7ED8E7C6-8F04-4419-149E-61D2F90BA574}"/>
            </a:ext>
          </a:extLst>
        </xdr:cNvPr>
        <xdr:cNvGrpSpPr/>
      </xdr:nvGrpSpPr>
      <xdr:grpSpPr>
        <a:xfrm>
          <a:off x="10313333" y="885265"/>
          <a:ext cx="3600000" cy="4858442"/>
          <a:chOff x="10033186" y="123825"/>
          <a:chExt cx="3206564" cy="5124450"/>
        </a:xfrm>
      </xdr:grpSpPr>
      <xdr:grpSp>
        <xdr:nvGrpSpPr>
          <xdr:cNvPr id="40" name="Agrupar 39">
            <a:extLst>
              <a:ext uri="{FF2B5EF4-FFF2-40B4-BE49-F238E27FC236}">
                <a16:creationId xmlns:a16="http://schemas.microsoft.com/office/drawing/2014/main" id="{544000E8-4024-9728-AF08-33AC3F86E020}"/>
              </a:ext>
            </a:extLst>
          </xdr:cNvPr>
          <xdr:cNvGrpSpPr/>
        </xdr:nvGrpSpPr>
        <xdr:grpSpPr>
          <a:xfrm>
            <a:off x="10033186" y="123825"/>
            <a:ext cx="3206564" cy="5124450"/>
            <a:chOff x="10086974" y="123825"/>
            <a:chExt cx="3228976" cy="5124450"/>
          </a:xfrm>
        </xdr:grpSpPr>
        <xdr:sp macro="" textlink="">
          <xdr:nvSpPr>
            <xdr:cNvPr id="38" name="Retângulo: Cantos Arredondados 37">
              <a:extLst>
                <a:ext uri="{FF2B5EF4-FFF2-40B4-BE49-F238E27FC236}">
                  <a16:creationId xmlns:a16="http://schemas.microsoft.com/office/drawing/2014/main" id="{A47BA6F5-C82F-16D6-A726-ED71834CC289}"/>
                </a:ext>
              </a:extLst>
            </xdr:cNvPr>
            <xdr:cNvSpPr/>
          </xdr:nvSpPr>
          <xdr:spPr>
            <a:xfrm>
              <a:off x="10103407" y="164017"/>
              <a:ext cx="3204326" cy="5084258"/>
            </a:xfrm>
            <a:prstGeom prst="roundRect">
              <a:avLst/>
            </a:prstGeom>
            <a:solidFill>
              <a:srgbClr val="002060"/>
            </a:solidFill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">
          <xdr:nvSpPr>
            <xdr:cNvPr id="39" name="Retângulo: Cantos Superiores Arredondados 38">
              <a:extLst>
                <a:ext uri="{FF2B5EF4-FFF2-40B4-BE49-F238E27FC236}">
                  <a16:creationId xmlns:a16="http://schemas.microsoft.com/office/drawing/2014/main" id="{784BD828-68CA-D140-2FE0-06EC28464782}"/>
                </a:ext>
              </a:extLst>
            </xdr:cNvPr>
            <xdr:cNvSpPr/>
          </xdr:nvSpPr>
          <xdr:spPr>
            <a:xfrm>
              <a:off x="10086974" y="123825"/>
              <a:ext cx="3228976" cy="581025"/>
            </a:xfrm>
            <a:prstGeom prst="round2SameRect">
              <a:avLst>
                <a:gd name="adj1" fmla="val 44836"/>
                <a:gd name="adj2" fmla="val 0"/>
              </a:avLst>
            </a:prstGeom>
            <a:solidFill>
              <a:schemeClr val="bg2">
                <a:lumMod val="9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</xdr:grpSp>
      <xdr:graphicFrame macro="">
        <xdr:nvGraphicFramePr>
          <xdr:cNvPr id="5" name="Gráfico 4">
            <a:extLst>
              <a:ext uri="{FF2B5EF4-FFF2-40B4-BE49-F238E27FC236}">
                <a16:creationId xmlns:a16="http://schemas.microsoft.com/office/drawing/2014/main" id="{3FEFDAE3-F858-4759-8759-6154A30EC1EC}"/>
              </a:ext>
            </a:extLst>
          </xdr:cNvPr>
          <xdr:cNvGraphicFramePr>
            <a:graphicFrameLocks/>
          </xdr:cNvGraphicFramePr>
        </xdr:nvGraphicFramePr>
        <xdr:xfrm>
          <a:off x="10152530" y="840441"/>
          <a:ext cx="2980764" cy="432603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351302</xdr:colOff>
      <xdr:row>19</xdr:row>
      <xdr:rowOff>58054</xdr:rowOff>
    </xdr:from>
    <xdr:to>
      <xdr:col>7</xdr:col>
      <xdr:colOff>320596</xdr:colOff>
      <xdr:row>30</xdr:row>
      <xdr:rowOff>122555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FCA25BA2-ECB0-2C2A-CFC1-9891C9256592}"/>
            </a:ext>
          </a:extLst>
        </xdr:cNvPr>
        <xdr:cNvGrpSpPr/>
      </xdr:nvGrpSpPr>
      <xdr:grpSpPr>
        <a:xfrm>
          <a:off x="2222684" y="3677554"/>
          <a:ext cx="3600000" cy="2160001"/>
          <a:chOff x="2105023" y="2847974"/>
          <a:chExt cx="3765359" cy="2476499"/>
        </a:xfrm>
      </xdr:grpSpPr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7B8D3545-2688-4291-A2F6-D5B6418BCEA9}"/>
              </a:ext>
            </a:extLst>
          </xdr:cNvPr>
          <xdr:cNvGrpSpPr/>
        </xdr:nvGrpSpPr>
        <xdr:grpSpPr>
          <a:xfrm>
            <a:off x="2105023" y="2847974"/>
            <a:ext cx="3765359" cy="2428876"/>
            <a:chOff x="2057398" y="266699"/>
            <a:chExt cx="3765359" cy="2428876"/>
          </a:xfrm>
        </xdr:grpSpPr>
        <xdr:sp macro="" textlink="">
          <xdr:nvSpPr>
            <xdr:cNvPr id="30" name="Retângulo: Cantos Arredondados 29">
              <a:extLst>
                <a:ext uri="{FF2B5EF4-FFF2-40B4-BE49-F238E27FC236}">
                  <a16:creationId xmlns:a16="http://schemas.microsoft.com/office/drawing/2014/main" id="{A1C07ED2-6BD2-3198-62E9-9488015B9598}"/>
                </a:ext>
              </a:extLst>
            </xdr:cNvPr>
            <xdr:cNvSpPr/>
          </xdr:nvSpPr>
          <xdr:spPr>
            <a:xfrm>
              <a:off x="2076450" y="285750"/>
              <a:ext cx="3714750" cy="2409825"/>
            </a:xfrm>
            <a:prstGeom prst="roundRect">
              <a:avLst/>
            </a:prstGeom>
            <a:solidFill>
              <a:srgbClr val="002060"/>
            </a:solidFill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">
          <xdr:nvSpPr>
            <xdr:cNvPr id="31" name="Retângulo: Cantos Superiores Arredondados 30">
              <a:extLst>
                <a:ext uri="{FF2B5EF4-FFF2-40B4-BE49-F238E27FC236}">
                  <a16:creationId xmlns:a16="http://schemas.microsoft.com/office/drawing/2014/main" id="{2B22F9DF-2AA3-DF55-17FB-FF67C19AD6C0}"/>
                </a:ext>
              </a:extLst>
            </xdr:cNvPr>
            <xdr:cNvSpPr/>
          </xdr:nvSpPr>
          <xdr:spPr>
            <a:xfrm>
              <a:off x="2057398" y="266699"/>
              <a:ext cx="3765359" cy="628650"/>
            </a:xfrm>
            <a:prstGeom prst="round2SameRect">
              <a:avLst>
                <a:gd name="adj1" fmla="val 44836"/>
                <a:gd name="adj2" fmla="val 0"/>
              </a:avLst>
            </a:prstGeom>
            <a:solidFill>
              <a:schemeClr val="bg2">
                <a:lumMod val="9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</xdr:grpSp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60B3A8E9-9F78-4A41-B913-F7D03CF855D5}"/>
              </a:ext>
            </a:extLst>
          </xdr:cNvPr>
          <xdr:cNvGraphicFramePr>
            <a:graphicFrameLocks/>
          </xdr:cNvGraphicFramePr>
        </xdr:nvGraphicFramePr>
        <xdr:xfrm>
          <a:off x="2200275" y="3552824"/>
          <a:ext cx="3629025" cy="17716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8</xdr:row>
          <xdr:rowOff>171450</xdr:rowOff>
        </xdr:from>
        <xdr:to>
          <xdr:col>0</xdr:col>
          <xdr:colOff>1552575</xdr:colOff>
          <xdr:row>10</xdr:row>
          <xdr:rowOff>9525</xdr:rowOff>
        </xdr:to>
        <xdr:sp macro="" textlink="">
          <xdr:nvSpPr>
            <xdr:cNvPr id="1035" name="ddAno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8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16</xdr:row>
          <xdr:rowOff>0</xdr:rowOff>
        </xdr:from>
        <xdr:to>
          <xdr:col>0</xdr:col>
          <xdr:colOff>1533525</xdr:colOff>
          <xdr:row>17</xdr:row>
          <xdr:rowOff>28575</xdr:rowOff>
        </xdr:to>
        <xdr:sp macro="" textlink="">
          <xdr:nvSpPr>
            <xdr:cNvPr id="1036" name="ddEstadoDivida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8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12</xdr:row>
          <xdr:rowOff>38100</xdr:rowOff>
        </xdr:from>
        <xdr:to>
          <xdr:col>0</xdr:col>
          <xdr:colOff>1543050</xdr:colOff>
          <xdr:row>13</xdr:row>
          <xdr:rowOff>66675</xdr:rowOff>
        </xdr:to>
        <xdr:sp macro="" textlink="">
          <xdr:nvSpPr>
            <xdr:cNvPr id="1038" name="ddMes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8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57150</xdr:colOff>
      <xdr:row>1</xdr:row>
      <xdr:rowOff>38101</xdr:rowOff>
    </xdr:from>
    <xdr:ext cx="1714500" cy="843693"/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1A7D2E4C-D16F-AEF8-91B6-6F454D2DF712}"/>
            </a:ext>
          </a:extLst>
        </xdr:cNvPr>
        <xdr:cNvSpPr/>
      </xdr:nvSpPr>
      <xdr:spPr>
        <a:xfrm>
          <a:off x="57150" y="228601"/>
          <a:ext cx="1714500" cy="843693"/>
        </a:xfrm>
        <a:prstGeom prst="rect">
          <a:avLst/>
        </a:prstGeom>
        <a:noFill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CONTROLE DE</a:t>
          </a:r>
          <a:r>
            <a:rPr lang="pt-BR" sz="24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FILTROS</a:t>
          </a:r>
          <a:endParaRPr lang="pt-BR" sz="24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oneCellAnchor>
  <xdr:twoCellAnchor>
    <xdr:from>
      <xdr:col>0</xdr:col>
      <xdr:colOff>66675</xdr:colOff>
      <xdr:row>1</xdr:row>
      <xdr:rowOff>66674</xdr:rowOff>
    </xdr:from>
    <xdr:to>
      <xdr:col>0</xdr:col>
      <xdr:colOff>1752600</xdr:colOff>
      <xdr:row>5</xdr:row>
      <xdr:rowOff>180975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577D8D64-145C-D940-C8C7-1F736B21F705}"/>
            </a:ext>
          </a:extLst>
        </xdr:cNvPr>
        <xdr:cNvSpPr/>
      </xdr:nvSpPr>
      <xdr:spPr>
        <a:xfrm>
          <a:off x="66675" y="257174"/>
          <a:ext cx="1685925" cy="876301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oneCellAnchor>
    <xdr:from>
      <xdr:col>0</xdr:col>
      <xdr:colOff>28575</xdr:colOff>
      <xdr:row>6</xdr:row>
      <xdr:rowOff>114301</xdr:rowOff>
    </xdr:from>
    <xdr:ext cx="1714500" cy="342851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BDBB2E1F-956D-4B81-9734-73121F0BB272}"/>
            </a:ext>
          </a:extLst>
        </xdr:cNvPr>
        <xdr:cNvSpPr/>
      </xdr:nvSpPr>
      <xdr:spPr>
        <a:xfrm>
          <a:off x="28575" y="1257301"/>
          <a:ext cx="1714500" cy="342851"/>
        </a:xfrm>
        <a:prstGeom prst="rect">
          <a:avLst/>
        </a:prstGeom>
        <a:noFill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spAutoFit/>
        </a:bodyPr>
        <a:lstStyle/>
        <a:p>
          <a:pPr algn="l"/>
          <a:r>
            <a:rPr lang="pt-BR" sz="1600" b="1" cap="none" spc="50">
              <a:ln w="0">
                <a:solidFill>
                  <a:schemeClr val="tx2"/>
                </a:solidFill>
              </a:ln>
              <a:solidFill>
                <a:schemeClr val="accent1">
                  <a:lumMod val="20000"/>
                  <a:lumOff val="80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Ano</a:t>
          </a:r>
        </a:p>
      </xdr:txBody>
    </xdr:sp>
    <xdr:clientData/>
  </xdr:oneCellAnchor>
  <xdr:twoCellAnchor>
    <xdr:from>
      <xdr:col>0</xdr:col>
      <xdr:colOff>95250</xdr:colOff>
      <xdr:row>8</xdr:row>
      <xdr:rowOff>76200</xdr:rowOff>
    </xdr:from>
    <xdr:to>
      <xdr:col>0</xdr:col>
      <xdr:colOff>1457325</xdr:colOff>
      <xdr:row>8</xdr:row>
      <xdr:rowOff>76200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BE19EAA2-A685-6AC2-628F-E91D250ACDF3}"/>
            </a:ext>
          </a:extLst>
        </xdr:cNvPr>
        <xdr:cNvCxnSpPr/>
      </xdr:nvCxnSpPr>
      <xdr:spPr>
        <a:xfrm>
          <a:off x="95250" y="1600200"/>
          <a:ext cx="1362075" cy="0"/>
        </a:xfrm>
        <a:prstGeom prst="line">
          <a:avLst/>
        </a:prstGeom>
        <a:ln w="57150"/>
        <a:effectLst>
          <a:reflection blurRad="6350" stA="50000" endA="300" endPos="55500" dist="50800" dir="5400000" sy="-100000" algn="bl" rotWithShape="0"/>
        </a:effec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40606</xdr:colOff>
      <xdr:row>10</xdr:row>
      <xdr:rowOff>31083</xdr:rowOff>
    </xdr:from>
    <xdr:to>
      <xdr:col>0</xdr:col>
      <xdr:colOff>1755106</xdr:colOff>
      <xdr:row>11</xdr:row>
      <xdr:rowOff>183434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72276EFE-BBF0-E7FA-ED8A-442EA5EEA13F}"/>
            </a:ext>
          </a:extLst>
        </xdr:cNvPr>
        <xdr:cNvGrpSpPr/>
      </xdr:nvGrpSpPr>
      <xdr:grpSpPr>
        <a:xfrm>
          <a:off x="40606" y="1936083"/>
          <a:ext cx="1714500" cy="342851"/>
          <a:chOff x="40606" y="1936083"/>
          <a:chExt cx="1714500" cy="342851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C0426B70-A39F-4557-8815-0996F402B857}"/>
              </a:ext>
            </a:extLst>
          </xdr:cNvPr>
          <xdr:cNvSpPr/>
        </xdr:nvSpPr>
        <xdr:spPr>
          <a:xfrm>
            <a:off x="40606" y="1936083"/>
            <a:ext cx="1714500" cy="342851"/>
          </a:xfrm>
          <a:prstGeom prst="rect">
            <a:avLst/>
          </a:prstGeom>
          <a:noFill/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txBody>
          <a:bodyPr wrap="square" lIns="91440" tIns="45720" rIns="91440" bIns="45720">
            <a:spAutoFit/>
          </a:bodyPr>
          <a:lstStyle/>
          <a:p>
            <a:pPr algn="l"/>
            <a:r>
              <a:rPr lang="pt-BR" sz="1600" b="1" cap="none" spc="50">
                <a:ln w="0">
                  <a:solidFill>
                    <a:schemeClr val="tx2"/>
                  </a:solidFill>
                </a:ln>
                <a:solidFill>
                  <a:schemeClr val="accent1">
                    <a:lumMod val="20000"/>
                    <a:lumOff val="80000"/>
                  </a:schemeClr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Mês</a:t>
            </a:r>
          </a:p>
        </xdr:txBody>
      </xdr:sp>
      <xdr:cxnSp macro="">
        <xdr:nvCxnSpPr>
          <xdr:cNvPr id="11" name="Conector reto 10">
            <a:extLst>
              <a:ext uri="{FF2B5EF4-FFF2-40B4-BE49-F238E27FC236}">
                <a16:creationId xmlns:a16="http://schemas.microsoft.com/office/drawing/2014/main" id="{235BB53C-9E4C-40AB-9AD4-F7C97A2B397A}"/>
              </a:ext>
            </a:extLst>
          </xdr:cNvPr>
          <xdr:cNvCxnSpPr/>
        </xdr:nvCxnSpPr>
        <xdr:spPr>
          <a:xfrm>
            <a:off x="117308" y="2243889"/>
            <a:ext cx="1362075" cy="0"/>
          </a:xfrm>
          <a:prstGeom prst="line">
            <a:avLst/>
          </a:prstGeom>
          <a:ln w="57150"/>
          <a:effectLst>
            <a:reflection blurRad="6350" stA="50000" endA="300" endPos="55500" dist="50800" dir="5400000" sy="-100000" algn="bl" rotWithShape="0"/>
          </a:effectLst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50131</xdr:colOff>
      <xdr:row>13</xdr:row>
      <xdr:rowOff>145383</xdr:rowOff>
    </xdr:from>
    <xdr:to>
      <xdr:col>0</xdr:col>
      <xdr:colOff>1764631</xdr:colOff>
      <xdr:row>15</xdr:row>
      <xdr:rowOff>107234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5AD6F099-E903-4905-B244-4C79E891AA09}"/>
            </a:ext>
          </a:extLst>
        </xdr:cNvPr>
        <xdr:cNvGrpSpPr/>
      </xdr:nvGrpSpPr>
      <xdr:grpSpPr>
        <a:xfrm>
          <a:off x="50131" y="2621883"/>
          <a:ext cx="1714500" cy="342851"/>
          <a:chOff x="40606" y="1936083"/>
          <a:chExt cx="1714500" cy="342851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B8ADBF5A-23A4-649A-743F-52A564A4E0FA}"/>
              </a:ext>
            </a:extLst>
          </xdr:cNvPr>
          <xdr:cNvSpPr/>
        </xdr:nvSpPr>
        <xdr:spPr>
          <a:xfrm>
            <a:off x="40606" y="1936083"/>
            <a:ext cx="1714500" cy="342851"/>
          </a:xfrm>
          <a:prstGeom prst="rect">
            <a:avLst/>
          </a:prstGeom>
          <a:noFill/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txBody>
          <a:bodyPr wrap="square" lIns="91440" tIns="45720" rIns="91440" bIns="45720">
            <a:spAutoFit/>
          </a:bodyPr>
          <a:lstStyle/>
          <a:p>
            <a:pPr algn="l"/>
            <a:r>
              <a:rPr lang="pt-BR" sz="1600" b="1" cap="none" spc="50">
                <a:ln w="0">
                  <a:solidFill>
                    <a:schemeClr val="tx2"/>
                  </a:solidFill>
                </a:ln>
                <a:solidFill>
                  <a:schemeClr val="accent1">
                    <a:lumMod val="20000"/>
                    <a:lumOff val="80000"/>
                  </a:schemeClr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Status</a:t>
            </a:r>
          </a:p>
        </xdr:txBody>
      </xdr:sp>
      <xdr:cxnSp macro="">
        <xdr:nvCxnSpPr>
          <xdr:cNvPr id="16" name="Conector reto 15">
            <a:extLst>
              <a:ext uri="{FF2B5EF4-FFF2-40B4-BE49-F238E27FC236}">
                <a16:creationId xmlns:a16="http://schemas.microsoft.com/office/drawing/2014/main" id="{931099FB-E2F9-0308-124B-9670D2E58B2F}"/>
              </a:ext>
            </a:extLst>
          </xdr:cNvPr>
          <xdr:cNvCxnSpPr/>
        </xdr:nvCxnSpPr>
        <xdr:spPr>
          <a:xfrm>
            <a:off x="117308" y="2243889"/>
            <a:ext cx="1362075" cy="0"/>
          </a:xfrm>
          <a:prstGeom prst="line">
            <a:avLst/>
          </a:prstGeom>
          <a:ln w="57150"/>
          <a:effectLst>
            <a:reflection blurRad="6350" stA="50000" endA="300" endPos="55500" dist="50800" dir="5400000" sy="-100000" algn="bl" rotWithShape="0"/>
          </a:effectLst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19</xdr:row>
          <xdr:rowOff>171450</xdr:rowOff>
        </xdr:from>
        <xdr:to>
          <xdr:col>0</xdr:col>
          <xdr:colOff>1533525</xdr:colOff>
          <xdr:row>21</xdr:row>
          <xdr:rowOff>9525</xdr:rowOff>
        </xdr:to>
        <xdr:sp macro="" textlink="">
          <xdr:nvSpPr>
            <xdr:cNvPr id="1039" name="ddMembro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8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69181</xdr:colOff>
      <xdr:row>17</xdr:row>
      <xdr:rowOff>107283</xdr:rowOff>
    </xdr:from>
    <xdr:to>
      <xdr:col>0</xdr:col>
      <xdr:colOff>1783681</xdr:colOff>
      <xdr:row>19</xdr:row>
      <xdr:rowOff>69134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DBC0E602-57D1-45C3-894E-26C0BD1FED32}"/>
            </a:ext>
          </a:extLst>
        </xdr:cNvPr>
        <xdr:cNvGrpSpPr/>
      </xdr:nvGrpSpPr>
      <xdr:grpSpPr>
        <a:xfrm>
          <a:off x="69181" y="3345783"/>
          <a:ext cx="1714500" cy="342851"/>
          <a:chOff x="40606" y="1936083"/>
          <a:chExt cx="1714500" cy="342851"/>
        </a:xfrm>
      </xdr:grpSpPr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C9C456F5-236F-0EEA-2CC7-2563DB5FA771}"/>
              </a:ext>
            </a:extLst>
          </xdr:cNvPr>
          <xdr:cNvSpPr/>
        </xdr:nvSpPr>
        <xdr:spPr>
          <a:xfrm>
            <a:off x="40606" y="1936083"/>
            <a:ext cx="1714500" cy="342851"/>
          </a:xfrm>
          <a:prstGeom prst="rect">
            <a:avLst/>
          </a:prstGeom>
          <a:noFill/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txBody>
          <a:bodyPr wrap="square" lIns="91440" tIns="45720" rIns="91440" bIns="45720">
            <a:spAutoFit/>
          </a:bodyPr>
          <a:lstStyle/>
          <a:p>
            <a:pPr algn="l"/>
            <a:r>
              <a:rPr lang="pt-BR" sz="1600" b="1" cap="none" spc="50">
                <a:ln w="0">
                  <a:solidFill>
                    <a:schemeClr val="tx2"/>
                  </a:solidFill>
                </a:ln>
                <a:solidFill>
                  <a:schemeClr val="accent1">
                    <a:lumMod val="20000"/>
                    <a:lumOff val="80000"/>
                  </a:schemeClr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Membros</a:t>
            </a:r>
          </a:p>
        </xdr:txBody>
      </xdr:sp>
      <xdr:cxnSp macro="">
        <xdr:nvCxnSpPr>
          <xdr:cNvPr id="20" name="Conector reto 19">
            <a:extLst>
              <a:ext uri="{FF2B5EF4-FFF2-40B4-BE49-F238E27FC236}">
                <a16:creationId xmlns:a16="http://schemas.microsoft.com/office/drawing/2014/main" id="{A8458CDE-4EC1-C7F3-5BE1-2A353B2E2582}"/>
              </a:ext>
            </a:extLst>
          </xdr:cNvPr>
          <xdr:cNvCxnSpPr/>
        </xdr:nvCxnSpPr>
        <xdr:spPr>
          <a:xfrm>
            <a:off x="117308" y="2243889"/>
            <a:ext cx="1362075" cy="0"/>
          </a:xfrm>
          <a:prstGeom prst="line">
            <a:avLst/>
          </a:prstGeom>
          <a:ln w="57150"/>
          <a:effectLst>
            <a:reflection blurRad="6350" stA="50000" endA="300" endPos="55500" dist="50800" dir="5400000" sy="-100000" algn="bl" rotWithShape="0"/>
          </a:effectLst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</xdr:col>
      <xdr:colOff>568138</xdr:colOff>
      <xdr:row>5</xdr:row>
      <xdr:rowOff>134471</xdr:rowOff>
    </xdr:from>
    <xdr:ext cx="3040156" cy="342851"/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36D6E533-7678-4DB4-85C9-E68D41EBE483}"/>
            </a:ext>
          </a:extLst>
        </xdr:cNvPr>
        <xdr:cNvSpPr/>
      </xdr:nvSpPr>
      <xdr:spPr>
        <a:xfrm>
          <a:off x="2439520" y="1086971"/>
          <a:ext cx="3040156" cy="342851"/>
        </a:xfrm>
        <a:prstGeom prst="rect">
          <a:avLst/>
        </a:prstGeom>
        <a:noFill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RECEITA</a:t>
          </a:r>
          <a:r>
            <a:rPr lang="pt-BR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 DESPESA</a:t>
          </a:r>
          <a:endParaRPr lang="pt-BR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8</xdr:col>
      <xdr:colOff>429184</xdr:colOff>
      <xdr:row>19</xdr:row>
      <xdr:rowOff>152400</xdr:rowOff>
    </xdr:from>
    <xdr:ext cx="3040156" cy="342851"/>
    <xdr:sp macro="" textlink="">
      <xdr:nvSpPr>
        <xdr:cNvPr id="50" name="Retângulo 49">
          <a:extLst>
            <a:ext uri="{FF2B5EF4-FFF2-40B4-BE49-F238E27FC236}">
              <a16:creationId xmlns:a16="http://schemas.microsoft.com/office/drawing/2014/main" id="{8D359291-7CA7-4C7A-936A-BBA42E5BA4BD}"/>
            </a:ext>
          </a:extLst>
        </xdr:cNvPr>
        <xdr:cNvSpPr/>
      </xdr:nvSpPr>
      <xdr:spPr>
        <a:xfrm>
          <a:off x="6536390" y="3771900"/>
          <a:ext cx="3040156" cy="342851"/>
        </a:xfrm>
        <a:prstGeom prst="rect">
          <a:avLst/>
        </a:prstGeom>
        <a:noFill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DÍVIDAS</a:t>
          </a:r>
        </a:p>
      </xdr:txBody>
    </xdr:sp>
    <xdr:clientData/>
  </xdr:oneCellAnchor>
  <xdr:oneCellAnchor>
    <xdr:from>
      <xdr:col>8</xdr:col>
      <xdr:colOff>507626</xdr:colOff>
      <xdr:row>5</xdr:row>
      <xdr:rowOff>107577</xdr:rowOff>
    </xdr:from>
    <xdr:ext cx="3040156" cy="342851"/>
    <xdr:sp macro="" textlink="">
      <xdr:nvSpPr>
        <xdr:cNvPr id="51" name="Retângulo 50">
          <a:extLst>
            <a:ext uri="{FF2B5EF4-FFF2-40B4-BE49-F238E27FC236}">
              <a16:creationId xmlns:a16="http://schemas.microsoft.com/office/drawing/2014/main" id="{67F21DAA-E339-4C91-9668-05540AAB82EC}"/>
            </a:ext>
          </a:extLst>
        </xdr:cNvPr>
        <xdr:cNvSpPr/>
      </xdr:nvSpPr>
      <xdr:spPr>
        <a:xfrm>
          <a:off x="6614832" y="1060077"/>
          <a:ext cx="3040156" cy="342851"/>
        </a:xfrm>
        <a:prstGeom prst="rect">
          <a:avLst/>
        </a:prstGeom>
        <a:noFill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TIPO DE CONTA</a:t>
          </a:r>
        </a:p>
      </xdr:txBody>
    </xdr:sp>
    <xdr:clientData/>
  </xdr:oneCellAnchor>
  <xdr:oneCellAnchor>
    <xdr:from>
      <xdr:col>15</xdr:col>
      <xdr:colOff>312644</xdr:colOff>
      <xdr:row>5</xdr:row>
      <xdr:rowOff>47066</xdr:rowOff>
    </xdr:from>
    <xdr:ext cx="3040156" cy="342851"/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8973E835-E737-44AC-8F90-42DF4846BE74}"/>
            </a:ext>
          </a:extLst>
        </xdr:cNvPr>
        <xdr:cNvSpPr/>
      </xdr:nvSpPr>
      <xdr:spPr>
        <a:xfrm>
          <a:off x="10655673" y="999566"/>
          <a:ext cx="3040156" cy="342851"/>
        </a:xfrm>
        <a:prstGeom prst="rect">
          <a:avLst/>
        </a:prstGeom>
        <a:noFill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RECEITA</a:t>
          </a:r>
          <a:r>
            <a:rPr lang="pt-BR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FONTE RENDA</a:t>
          </a:r>
          <a:endParaRPr lang="pt-BR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</xdr:col>
      <xdr:colOff>72837</xdr:colOff>
      <xdr:row>19</xdr:row>
      <xdr:rowOff>143437</xdr:rowOff>
    </xdr:from>
    <xdr:ext cx="3040156" cy="342851"/>
    <xdr:sp macro="" textlink="">
      <xdr:nvSpPr>
        <xdr:cNvPr id="53" name="Retângulo 52">
          <a:extLst>
            <a:ext uri="{FF2B5EF4-FFF2-40B4-BE49-F238E27FC236}">
              <a16:creationId xmlns:a16="http://schemas.microsoft.com/office/drawing/2014/main" id="{C78AEFCB-EA05-44D1-BECD-650B3A76B430}"/>
            </a:ext>
          </a:extLst>
        </xdr:cNvPr>
        <xdr:cNvSpPr/>
      </xdr:nvSpPr>
      <xdr:spPr>
        <a:xfrm>
          <a:off x="2549337" y="3762937"/>
          <a:ext cx="3040156" cy="342851"/>
        </a:xfrm>
        <a:prstGeom prst="rect">
          <a:avLst/>
        </a:prstGeom>
        <a:noFill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DESPESAS</a:t>
          </a:r>
          <a:r>
            <a:rPr lang="pt-BR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FIXAS POR CATEGORIA</a:t>
          </a:r>
          <a:endParaRPr lang="pt-BR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5</xdr:col>
      <xdr:colOff>406773</xdr:colOff>
      <xdr:row>0</xdr:row>
      <xdr:rowOff>62753</xdr:rowOff>
    </xdr:from>
    <xdr:ext cx="6720168" cy="593239"/>
    <xdr:sp macro="" textlink="">
      <xdr:nvSpPr>
        <xdr:cNvPr id="54" name="Retângulo 53">
          <a:extLst>
            <a:ext uri="{FF2B5EF4-FFF2-40B4-BE49-F238E27FC236}">
              <a16:creationId xmlns:a16="http://schemas.microsoft.com/office/drawing/2014/main" id="{2BCB97AF-FE9A-450E-9C6A-12F06F9441BA}"/>
            </a:ext>
          </a:extLst>
        </xdr:cNvPr>
        <xdr:cNvSpPr/>
      </xdr:nvSpPr>
      <xdr:spPr>
        <a:xfrm>
          <a:off x="4698626" y="62753"/>
          <a:ext cx="6720168" cy="593239"/>
        </a:xfrm>
        <a:prstGeom prst="rect">
          <a:avLst/>
        </a:prstGeom>
        <a:noFill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PANORAMA</a:t>
          </a:r>
          <a:r>
            <a:rPr lang="pt-BR" sz="3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FINANCEIRO</a:t>
          </a:r>
          <a:endParaRPr lang="pt-BR" sz="32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ja Khalil" refreshedDate="45633.596294328701" createdVersion="3" refreshedVersion="8" minRefreshableVersion="3" recordCount="10" xr:uid="{8F7C144E-1DC7-4ADC-818D-2FD13967C016}">
  <cacheSource type="worksheet">
    <worksheetSource ref="A1:E11" sheet="Dívidas"/>
  </cacheSource>
  <cacheFields count="5">
    <cacheField name="ID_Dívida" numFmtId="0">
      <sharedItems containsSemiMixedTypes="0" containsString="0" containsNumber="1" containsInteger="1" minValue="1" maxValue="10"/>
    </cacheField>
    <cacheField name="Descrição" numFmtId="0">
      <sharedItems count="10">
        <s v="Dívida 1"/>
        <s v="Dívida 2"/>
        <s v="Dívida 3"/>
        <s v="Dívida 4"/>
        <s v="Dívida 5"/>
        <s v="Dívida 6"/>
        <s v="Dívida 7"/>
        <s v="Dívida 8"/>
        <s v="Dívida 9"/>
        <s v="Dívida 10"/>
      </sharedItems>
    </cacheField>
    <cacheField name="Valor" numFmtId="0">
      <sharedItems containsSemiMixedTypes="0" containsString="0" containsNumber="1" containsInteger="1" minValue="645" maxValue="17901"/>
    </cacheField>
    <cacheField name="ID_Conta" numFmtId="0">
      <sharedItems containsSemiMixedTypes="0" containsString="0" containsNumber="1" containsInteger="1" minValue="1" maxValue="5"/>
    </cacheField>
    <cacheField name="Status" numFmtId="0">
      <sharedItems count="2">
        <s v="Quitada"/>
        <s v="Ativ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ja Khalil" refreshedDate="45633.619262152781" createdVersion="3" refreshedVersion="8" minRefreshableVersion="3" recordCount="30" xr:uid="{9CF35D05-574A-45DF-90DC-B9C786BDE5FC}">
  <cacheSource type="worksheet">
    <worksheetSource ref="A1:H31" sheet="Transações"/>
  </cacheSource>
  <cacheFields count="8">
    <cacheField name="ID_Transacao" numFmtId="0">
      <sharedItems containsSemiMixedTypes="0" containsString="0" containsNumber="1" containsInteger="1" minValue="1" maxValue="30"/>
    </cacheField>
    <cacheField name="Data" numFmtId="14">
      <sharedItems containsSemiMixedTypes="0" containsNonDate="0" containsDate="1" containsString="0" minDate="2024-01-01T00:00:00" maxDate="2024-01-31T00:00:00"/>
    </cacheField>
    <cacheField name="Descrição" numFmtId="0">
      <sharedItems/>
    </cacheField>
    <cacheField name="Valor" numFmtId="0">
      <sharedItems containsSemiMixedTypes="0" containsString="0" containsNumber="1" containsInteger="1" minValue="-4662" maxValue="4473"/>
    </cacheField>
    <cacheField name="Categoria" numFmtId="0">
      <sharedItems/>
    </cacheField>
    <cacheField name="ID_Conta" numFmtId="0">
      <sharedItems containsSemiMixedTypes="0" containsString="0" containsNumber="1" containsInteger="1" minValue="1" maxValue="5" count="5">
        <n v="5"/>
        <n v="1"/>
        <n v="3"/>
        <n v="4"/>
        <n v="2"/>
      </sharedItems>
    </cacheField>
    <cacheField name="ID_Membro_Familia" numFmtId="0">
      <sharedItems containsSemiMixedTypes="0" containsString="0" containsNumber="1" containsInteger="1" minValue="1" maxValue="3"/>
    </cacheField>
    <cacheField name="ID_Tipo_Renda" numFmtId="0">
      <sharedItems containsSemiMixedTypes="0" containsString="0" containsNumber="1" containsInteger="1" minValue="1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ja Khalil" refreshedDate="45633.620375115737" createdVersion="3" refreshedVersion="8" minRefreshableVersion="3" recordCount="30" xr:uid="{B6980DFE-3567-4218-925D-C026E37AE917}">
  <cacheSource type="worksheet">
    <worksheetSource ref="A1:J31" sheet="Transações"/>
  </cacheSource>
  <cacheFields count="10">
    <cacheField name="ID_Transacao" numFmtId="0">
      <sharedItems containsSemiMixedTypes="0" containsString="0" containsNumber="1" containsInteger="1" minValue="1" maxValue="30"/>
    </cacheField>
    <cacheField name="Data" numFmtId="14">
      <sharedItems containsSemiMixedTypes="0" containsNonDate="0" containsDate="1" containsString="0" minDate="2024-01-01T00:00:00" maxDate="2024-01-31T00:00:00"/>
    </cacheField>
    <cacheField name="Descrição" numFmtId="0">
      <sharedItems count="30">
        <s v="Transação 1"/>
        <s v="Transação 2"/>
        <s v="Transação 3"/>
        <s v="Transação 4"/>
        <s v="Transação 5"/>
        <s v="Transação 6"/>
        <s v="Transação 7"/>
        <s v="Transação 8"/>
        <s v="Transação 9"/>
        <s v="Transação 10"/>
        <s v="Transação 11"/>
        <s v="Transação 12"/>
        <s v="Transação 13"/>
        <s v="Transação 14"/>
        <s v="Transação 15"/>
        <s v="Transação 16"/>
        <s v="Transação 17"/>
        <s v="Transação 18"/>
        <s v="Transação 19"/>
        <s v="Transação 20"/>
        <s v="Transação 21"/>
        <s v="Transação 22"/>
        <s v="Transação 23"/>
        <s v="Transação 24"/>
        <s v="Transação 25"/>
        <s v="Transação 26"/>
        <s v="Transação 27"/>
        <s v="Transação 28"/>
        <s v="Transação 29"/>
        <s v="Transação 30"/>
      </sharedItems>
    </cacheField>
    <cacheField name="Valor" numFmtId="0">
      <sharedItems containsSemiMixedTypes="0" containsString="0" containsNumber="1" containsInteger="1" minValue="-4662" maxValue="4473"/>
    </cacheField>
    <cacheField name="Categoria" numFmtId="0">
      <sharedItems/>
    </cacheField>
    <cacheField name="ID_Conta" numFmtId="0">
      <sharedItems containsSemiMixedTypes="0" containsString="0" containsNumber="1" containsInteger="1" minValue="1" maxValue="5"/>
    </cacheField>
    <cacheField name="ID_Membro_Familia" numFmtId="0">
      <sharedItems containsSemiMixedTypes="0" containsString="0" containsNumber="1" containsInteger="1" minValue="1" maxValue="3" count="3">
        <n v="2"/>
        <n v="1"/>
        <n v="3"/>
      </sharedItems>
    </cacheField>
    <cacheField name="ID_Tipo_Renda" numFmtId="0">
      <sharedItems containsSemiMixedTypes="0" containsString="0" containsNumber="1" containsInteger="1" minValue="1" maxValue="2" count="2">
        <n v="1"/>
        <n v="2"/>
      </sharedItems>
    </cacheField>
    <cacheField name="Mês" numFmtId="0">
      <sharedItems containsSemiMixedTypes="0" containsString="0" containsNumber="1" containsInteger="1" minValue="1" maxValue="1" count="1">
        <n v="1"/>
      </sharedItems>
    </cacheField>
    <cacheField name="Ano" numFmtId="0">
      <sharedItems containsSemiMixedTypes="0" containsString="0" containsNumber="1" containsInteger="1" minValue="2024" maxValue="2024" count="1">
        <n v="202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ja Khalil" refreshedDate="45633.622416550927" createdVersion="3" refreshedVersion="8" minRefreshableVersion="3" recordCount="4" xr:uid="{E02A976E-BA90-4094-B174-0F57662F4861}">
  <cacheSource type="worksheet">
    <worksheetSource ref="A1:D5" sheet="Despesas Fixas"/>
  </cacheSource>
  <cacheFields count="4">
    <cacheField name="ID_Despesa" numFmtId="0">
      <sharedItems containsSemiMixedTypes="0" containsString="0" containsNumber="1" containsInteger="1" minValue="1" maxValue="4"/>
    </cacheField>
    <cacheField name="Descrição" numFmtId="0">
      <sharedItems count="4">
        <s v="Mensalidade Escolar"/>
        <s v="Financiamento Habitação"/>
        <s v="Plano de Saúde"/>
        <s v="Internet e Telefone"/>
      </sharedItems>
    </cacheField>
    <cacheField name="Valor" numFmtId="0">
      <sharedItems containsSemiMixedTypes="0" containsString="0" containsNumber="1" containsInteger="1" minValue="200" maxValue="2500"/>
    </cacheField>
    <cacheField name="Frequência" numFmtId="0">
      <sharedItems count="1">
        <s v="Mens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ja Khalil" refreshedDate="45633.644056597223" createdVersion="3" refreshedVersion="8" minRefreshableVersion="3" recordCount="30" xr:uid="{6684B191-8033-4705-A273-8412B0DD2CE3}">
  <cacheSource type="worksheet">
    <worksheetSource ref="A1:J31" sheet="Transações"/>
  </cacheSource>
  <cacheFields count="10">
    <cacheField name="ID_Transacao" numFmtId="0">
      <sharedItems containsSemiMixedTypes="0" containsString="0" containsNumber="1" containsInteger="1" minValue="1" maxValue="30"/>
    </cacheField>
    <cacheField name="Data" numFmtId="14">
      <sharedItems containsSemiMixedTypes="0" containsNonDate="0" containsDate="1" containsString="0" minDate="2024-01-01T00:00:00" maxDate="2024-01-31T00:00:00"/>
    </cacheField>
    <cacheField name="Descrição" numFmtId="0">
      <sharedItems/>
    </cacheField>
    <cacheField name="Valor" numFmtId="0">
      <sharedItems containsSemiMixedTypes="0" containsString="0" containsNumber="1" containsInteger="1" minValue="-4662" maxValue="4473"/>
    </cacheField>
    <cacheField name="Categoria" numFmtId="0">
      <sharedItems count="2">
        <s v="Despesa"/>
        <s v="Receita"/>
      </sharedItems>
    </cacheField>
    <cacheField name="ID_Conta" numFmtId="0">
      <sharedItems containsSemiMixedTypes="0" containsString="0" containsNumber="1" containsInteger="1" minValue="1" maxValue="5"/>
    </cacheField>
    <cacheField name="ID_Membro_Familia" numFmtId="0">
      <sharedItems containsSemiMixedTypes="0" containsString="0" containsNumber="1" containsInteger="1" minValue="1" maxValue="3"/>
    </cacheField>
    <cacheField name="ID_Tipo_Renda" numFmtId="0">
      <sharedItems containsSemiMixedTypes="0" containsString="0" containsNumber="1" containsInteger="1" minValue="1" maxValue="2"/>
    </cacheField>
    <cacheField name="Mês" numFmtId="0">
      <sharedItems containsSemiMixedTypes="0" containsString="0" containsNumber="1" containsInteger="1" minValue="1" maxValue="1" count="1">
        <n v="1"/>
      </sharedItems>
    </cacheField>
    <cacheField name="Ano" numFmtId="0">
      <sharedItems containsSemiMixedTypes="0" containsString="0" containsNumber="1" containsInteger="1" minValue="2024" maxValue="2024" count="1">
        <n v="202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n v="1"/>
    <x v="0"/>
    <n v="13010"/>
    <n v="4"/>
    <x v="0"/>
  </r>
  <r>
    <n v="2"/>
    <x v="1"/>
    <n v="645"/>
    <n v="3"/>
    <x v="1"/>
  </r>
  <r>
    <n v="3"/>
    <x v="2"/>
    <n v="17901"/>
    <n v="4"/>
    <x v="0"/>
  </r>
  <r>
    <n v="4"/>
    <x v="3"/>
    <n v="15536"/>
    <n v="4"/>
    <x v="1"/>
  </r>
  <r>
    <n v="5"/>
    <x v="4"/>
    <n v="3786"/>
    <n v="2"/>
    <x v="0"/>
  </r>
  <r>
    <n v="6"/>
    <x v="5"/>
    <n v="1087"/>
    <n v="5"/>
    <x v="1"/>
  </r>
  <r>
    <n v="7"/>
    <x v="6"/>
    <n v="11956"/>
    <n v="1"/>
    <x v="0"/>
  </r>
  <r>
    <n v="8"/>
    <x v="7"/>
    <n v="14256"/>
    <n v="2"/>
    <x v="1"/>
  </r>
  <r>
    <n v="9"/>
    <x v="8"/>
    <n v="14285"/>
    <n v="5"/>
    <x v="0"/>
  </r>
  <r>
    <n v="10"/>
    <x v="9"/>
    <n v="4651"/>
    <n v="3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n v="1"/>
    <d v="2024-01-01T00:00:00"/>
    <s v="Transação 1"/>
    <n v="-1564"/>
    <s v="Despesa"/>
    <x v="0"/>
    <n v="2"/>
    <n v="1"/>
  </r>
  <r>
    <n v="2"/>
    <d v="2024-01-02T00:00:00"/>
    <s v="Transação 2"/>
    <n v="2118"/>
    <s v="Receita"/>
    <x v="1"/>
    <n v="2"/>
    <n v="1"/>
  </r>
  <r>
    <n v="3"/>
    <d v="2024-01-03T00:00:00"/>
    <s v="Transação 3"/>
    <n v="-3957"/>
    <s v="Despesa"/>
    <x v="2"/>
    <n v="1"/>
    <n v="1"/>
  </r>
  <r>
    <n v="4"/>
    <d v="2024-01-04T00:00:00"/>
    <s v="Transação 4"/>
    <n v="3312"/>
    <s v="Receita"/>
    <x v="3"/>
    <n v="1"/>
    <n v="2"/>
  </r>
  <r>
    <n v="5"/>
    <d v="2024-01-05T00:00:00"/>
    <s v="Transação 5"/>
    <n v="-234"/>
    <s v="Despesa"/>
    <x v="4"/>
    <n v="1"/>
    <n v="1"/>
  </r>
  <r>
    <n v="6"/>
    <d v="2024-01-06T00:00:00"/>
    <s v="Transação 6"/>
    <n v="3509"/>
    <s v="Receita"/>
    <x v="3"/>
    <n v="1"/>
    <n v="1"/>
  </r>
  <r>
    <n v="7"/>
    <d v="2024-01-07T00:00:00"/>
    <s v="Transação 7"/>
    <n v="-3018"/>
    <s v="Despesa"/>
    <x v="2"/>
    <n v="2"/>
    <n v="1"/>
  </r>
  <r>
    <n v="8"/>
    <d v="2024-01-08T00:00:00"/>
    <s v="Transação 8"/>
    <n v="4473"/>
    <s v="Receita"/>
    <x v="1"/>
    <n v="3"/>
    <n v="2"/>
  </r>
  <r>
    <n v="9"/>
    <d v="2024-01-09T00:00:00"/>
    <s v="Transação 9"/>
    <n v="-271"/>
    <s v="Despesa"/>
    <x v="4"/>
    <n v="2"/>
    <n v="1"/>
  </r>
  <r>
    <n v="10"/>
    <d v="2024-01-10T00:00:00"/>
    <s v="Transação 10"/>
    <n v="2632"/>
    <s v="Receita"/>
    <x v="2"/>
    <n v="2"/>
    <n v="2"/>
  </r>
  <r>
    <n v="11"/>
    <d v="2024-01-11T00:00:00"/>
    <s v="Transação 11"/>
    <n v="-920"/>
    <s v="Despesa"/>
    <x v="2"/>
    <n v="2"/>
    <n v="2"/>
  </r>
  <r>
    <n v="12"/>
    <d v="2024-01-12T00:00:00"/>
    <s v="Transação 12"/>
    <n v="845"/>
    <s v="Receita"/>
    <x v="1"/>
    <n v="2"/>
    <n v="1"/>
  </r>
  <r>
    <n v="13"/>
    <d v="2024-01-13T00:00:00"/>
    <s v="Transação 13"/>
    <n v="-3347"/>
    <s v="Despesa"/>
    <x v="2"/>
    <n v="3"/>
    <n v="1"/>
  </r>
  <r>
    <n v="14"/>
    <d v="2024-01-14T00:00:00"/>
    <s v="Transação 14"/>
    <n v="3095"/>
    <s v="Receita"/>
    <x v="4"/>
    <n v="1"/>
    <n v="1"/>
  </r>
  <r>
    <n v="15"/>
    <d v="2024-01-15T00:00:00"/>
    <s v="Transação 15"/>
    <n v="-1608"/>
    <s v="Despesa"/>
    <x v="4"/>
    <n v="3"/>
    <n v="2"/>
  </r>
  <r>
    <n v="16"/>
    <d v="2024-01-16T00:00:00"/>
    <s v="Transação 16"/>
    <n v="741"/>
    <s v="Receita"/>
    <x v="3"/>
    <n v="1"/>
    <n v="2"/>
  </r>
  <r>
    <n v="17"/>
    <d v="2024-01-17T00:00:00"/>
    <s v="Transação 17"/>
    <n v="-1542"/>
    <s v="Despesa"/>
    <x v="0"/>
    <n v="3"/>
    <n v="2"/>
  </r>
  <r>
    <n v="18"/>
    <d v="2024-01-18T00:00:00"/>
    <s v="Transação 18"/>
    <n v="4356"/>
    <s v="Receita"/>
    <x v="2"/>
    <n v="2"/>
    <n v="1"/>
  </r>
  <r>
    <n v="19"/>
    <d v="2024-01-19T00:00:00"/>
    <s v="Transação 19"/>
    <n v="-733"/>
    <s v="Despesa"/>
    <x v="4"/>
    <n v="2"/>
    <n v="1"/>
  </r>
  <r>
    <n v="20"/>
    <d v="2024-01-20T00:00:00"/>
    <s v="Transação 20"/>
    <n v="2608"/>
    <s v="Receita"/>
    <x v="4"/>
    <n v="3"/>
    <n v="1"/>
  </r>
  <r>
    <n v="21"/>
    <d v="2024-01-21T00:00:00"/>
    <s v="Transação 21"/>
    <n v="-1750"/>
    <s v="Despesa"/>
    <x v="1"/>
    <n v="3"/>
    <n v="1"/>
  </r>
  <r>
    <n v="22"/>
    <d v="2024-01-22T00:00:00"/>
    <s v="Transação 22"/>
    <n v="3069"/>
    <s v="Receita"/>
    <x v="3"/>
    <n v="2"/>
    <n v="1"/>
  </r>
  <r>
    <n v="23"/>
    <d v="2024-01-23T00:00:00"/>
    <s v="Transação 23"/>
    <n v="-1522"/>
    <s v="Despesa"/>
    <x v="0"/>
    <n v="2"/>
    <n v="1"/>
  </r>
  <r>
    <n v="24"/>
    <d v="2024-01-24T00:00:00"/>
    <s v="Transação 24"/>
    <n v="2171"/>
    <s v="Receita"/>
    <x v="3"/>
    <n v="2"/>
    <n v="1"/>
  </r>
  <r>
    <n v="25"/>
    <d v="2024-01-25T00:00:00"/>
    <s v="Transação 25"/>
    <n v="-1488"/>
    <s v="Despesa"/>
    <x v="1"/>
    <n v="3"/>
    <n v="1"/>
  </r>
  <r>
    <n v="26"/>
    <d v="2024-01-26T00:00:00"/>
    <s v="Transação 26"/>
    <n v="3378"/>
    <s v="Receita"/>
    <x v="0"/>
    <n v="3"/>
    <n v="1"/>
  </r>
  <r>
    <n v="27"/>
    <d v="2024-01-27T00:00:00"/>
    <s v="Transação 27"/>
    <n v="-580"/>
    <s v="Despesa"/>
    <x v="1"/>
    <n v="3"/>
    <n v="2"/>
  </r>
  <r>
    <n v="28"/>
    <d v="2024-01-28T00:00:00"/>
    <s v="Transação 28"/>
    <n v="4188"/>
    <s v="Receita"/>
    <x v="3"/>
    <n v="1"/>
    <n v="2"/>
  </r>
  <r>
    <n v="29"/>
    <d v="2024-01-29T00:00:00"/>
    <s v="Transação 29"/>
    <n v="-4662"/>
    <s v="Despesa"/>
    <x v="2"/>
    <n v="3"/>
    <n v="1"/>
  </r>
  <r>
    <n v="30"/>
    <d v="2024-01-30T00:00:00"/>
    <s v="Transação 30"/>
    <n v="975"/>
    <s v="Receita"/>
    <x v="1"/>
    <n v="2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n v="1"/>
    <d v="2024-01-01T00:00:00"/>
    <x v="0"/>
    <n v="-1564"/>
    <s v="Despesa"/>
    <n v="5"/>
    <x v="0"/>
    <x v="0"/>
    <x v="0"/>
    <x v="0"/>
  </r>
  <r>
    <n v="2"/>
    <d v="2024-01-02T00:00:00"/>
    <x v="1"/>
    <n v="2118"/>
    <s v="Receita"/>
    <n v="1"/>
    <x v="0"/>
    <x v="0"/>
    <x v="0"/>
    <x v="0"/>
  </r>
  <r>
    <n v="3"/>
    <d v="2024-01-03T00:00:00"/>
    <x v="2"/>
    <n v="-3957"/>
    <s v="Despesa"/>
    <n v="3"/>
    <x v="1"/>
    <x v="0"/>
    <x v="0"/>
    <x v="0"/>
  </r>
  <r>
    <n v="4"/>
    <d v="2024-01-04T00:00:00"/>
    <x v="3"/>
    <n v="3312"/>
    <s v="Receita"/>
    <n v="4"/>
    <x v="1"/>
    <x v="1"/>
    <x v="0"/>
    <x v="0"/>
  </r>
  <r>
    <n v="5"/>
    <d v="2024-01-05T00:00:00"/>
    <x v="4"/>
    <n v="-234"/>
    <s v="Despesa"/>
    <n v="2"/>
    <x v="1"/>
    <x v="0"/>
    <x v="0"/>
    <x v="0"/>
  </r>
  <r>
    <n v="6"/>
    <d v="2024-01-06T00:00:00"/>
    <x v="5"/>
    <n v="3509"/>
    <s v="Receita"/>
    <n v="4"/>
    <x v="1"/>
    <x v="0"/>
    <x v="0"/>
    <x v="0"/>
  </r>
  <r>
    <n v="7"/>
    <d v="2024-01-07T00:00:00"/>
    <x v="6"/>
    <n v="-3018"/>
    <s v="Despesa"/>
    <n v="3"/>
    <x v="0"/>
    <x v="0"/>
    <x v="0"/>
    <x v="0"/>
  </r>
  <r>
    <n v="8"/>
    <d v="2024-01-08T00:00:00"/>
    <x v="7"/>
    <n v="4473"/>
    <s v="Receita"/>
    <n v="1"/>
    <x v="2"/>
    <x v="1"/>
    <x v="0"/>
    <x v="0"/>
  </r>
  <r>
    <n v="9"/>
    <d v="2024-01-09T00:00:00"/>
    <x v="8"/>
    <n v="-271"/>
    <s v="Despesa"/>
    <n v="2"/>
    <x v="0"/>
    <x v="0"/>
    <x v="0"/>
    <x v="0"/>
  </r>
  <r>
    <n v="10"/>
    <d v="2024-01-10T00:00:00"/>
    <x v="9"/>
    <n v="2632"/>
    <s v="Receita"/>
    <n v="3"/>
    <x v="0"/>
    <x v="1"/>
    <x v="0"/>
    <x v="0"/>
  </r>
  <r>
    <n v="11"/>
    <d v="2024-01-11T00:00:00"/>
    <x v="10"/>
    <n v="-920"/>
    <s v="Despesa"/>
    <n v="3"/>
    <x v="0"/>
    <x v="1"/>
    <x v="0"/>
    <x v="0"/>
  </r>
  <r>
    <n v="12"/>
    <d v="2024-01-12T00:00:00"/>
    <x v="11"/>
    <n v="845"/>
    <s v="Receita"/>
    <n v="1"/>
    <x v="0"/>
    <x v="0"/>
    <x v="0"/>
    <x v="0"/>
  </r>
  <r>
    <n v="13"/>
    <d v="2024-01-13T00:00:00"/>
    <x v="12"/>
    <n v="-3347"/>
    <s v="Despesa"/>
    <n v="3"/>
    <x v="2"/>
    <x v="0"/>
    <x v="0"/>
    <x v="0"/>
  </r>
  <r>
    <n v="14"/>
    <d v="2024-01-14T00:00:00"/>
    <x v="13"/>
    <n v="3095"/>
    <s v="Receita"/>
    <n v="2"/>
    <x v="1"/>
    <x v="0"/>
    <x v="0"/>
    <x v="0"/>
  </r>
  <r>
    <n v="15"/>
    <d v="2024-01-15T00:00:00"/>
    <x v="14"/>
    <n v="-1608"/>
    <s v="Despesa"/>
    <n v="2"/>
    <x v="2"/>
    <x v="1"/>
    <x v="0"/>
    <x v="0"/>
  </r>
  <r>
    <n v="16"/>
    <d v="2024-01-16T00:00:00"/>
    <x v="15"/>
    <n v="741"/>
    <s v="Receita"/>
    <n v="4"/>
    <x v="1"/>
    <x v="1"/>
    <x v="0"/>
    <x v="0"/>
  </r>
  <r>
    <n v="17"/>
    <d v="2024-01-17T00:00:00"/>
    <x v="16"/>
    <n v="-1542"/>
    <s v="Despesa"/>
    <n v="5"/>
    <x v="2"/>
    <x v="1"/>
    <x v="0"/>
    <x v="0"/>
  </r>
  <r>
    <n v="18"/>
    <d v="2024-01-18T00:00:00"/>
    <x v="17"/>
    <n v="4356"/>
    <s v="Receita"/>
    <n v="3"/>
    <x v="0"/>
    <x v="0"/>
    <x v="0"/>
    <x v="0"/>
  </r>
  <r>
    <n v="19"/>
    <d v="2024-01-19T00:00:00"/>
    <x v="18"/>
    <n v="-733"/>
    <s v="Despesa"/>
    <n v="2"/>
    <x v="0"/>
    <x v="0"/>
    <x v="0"/>
    <x v="0"/>
  </r>
  <r>
    <n v="20"/>
    <d v="2024-01-20T00:00:00"/>
    <x v="19"/>
    <n v="2608"/>
    <s v="Receita"/>
    <n v="2"/>
    <x v="2"/>
    <x v="0"/>
    <x v="0"/>
    <x v="0"/>
  </r>
  <r>
    <n v="21"/>
    <d v="2024-01-21T00:00:00"/>
    <x v="20"/>
    <n v="-1750"/>
    <s v="Despesa"/>
    <n v="1"/>
    <x v="2"/>
    <x v="0"/>
    <x v="0"/>
    <x v="0"/>
  </r>
  <r>
    <n v="22"/>
    <d v="2024-01-22T00:00:00"/>
    <x v="21"/>
    <n v="3069"/>
    <s v="Receita"/>
    <n v="4"/>
    <x v="0"/>
    <x v="0"/>
    <x v="0"/>
    <x v="0"/>
  </r>
  <r>
    <n v="23"/>
    <d v="2024-01-23T00:00:00"/>
    <x v="22"/>
    <n v="-1522"/>
    <s v="Despesa"/>
    <n v="5"/>
    <x v="0"/>
    <x v="0"/>
    <x v="0"/>
    <x v="0"/>
  </r>
  <r>
    <n v="24"/>
    <d v="2024-01-24T00:00:00"/>
    <x v="23"/>
    <n v="2171"/>
    <s v="Receita"/>
    <n v="4"/>
    <x v="0"/>
    <x v="0"/>
    <x v="0"/>
    <x v="0"/>
  </r>
  <r>
    <n v="25"/>
    <d v="2024-01-25T00:00:00"/>
    <x v="24"/>
    <n v="-1488"/>
    <s v="Despesa"/>
    <n v="1"/>
    <x v="2"/>
    <x v="0"/>
    <x v="0"/>
    <x v="0"/>
  </r>
  <r>
    <n v="26"/>
    <d v="2024-01-26T00:00:00"/>
    <x v="25"/>
    <n v="3378"/>
    <s v="Receita"/>
    <n v="5"/>
    <x v="2"/>
    <x v="0"/>
    <x v="0"/>
    <x v="0"/>
  </r>
  <r>
    <n v="27"/>
    <d v="2024-01-27T00:00:00"/>
    <x v="26"/>
    <n v="-580"/>
    <s v="Despesa"/>
    <n v="1"/>
    <x v="2"/>
    <x v="1"/>
    <x v="0"/>
    <x v="0"/>
  </r>
  <r>
    <n v="28"/>
    <d v="2024-01-28T00:00:00"/>
    <x v="27"/>
    <n v="4188"/>
    <s v="Receita"/>
    <n v="4"/>
    <x v="1"/>
    <x v="1"/>
    <x v="0"/>
    <x v="0"/>
  </r>
  <r>
    <n v="29"/>
    <d v="2024-01-29T00:00:00"/>
    <x v="28"/>
    <n v="-4662"/>
    <s v="Despesa"/>
    <n v="3"/>
    <x v="2"/>
    <x v="0"/>
    <x v="0"/>
    <x v="0"/>
  </r>
  <r>
    <n v="30"/>
    <d v="2024-01-30T00:00:00"/>
    <x v="29"/>
    <n v="975"/>
    <s v="Receita"/>
    <n v="1"/>
    <x v="0"/>
    <x v="0"/>
    <x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n v="1"/>
    <x v="0"/>
    <n v="1200"/>
    <x v="0"/>
  </r>
  <r>
    <n v="2"/>
    <x v="1"/>
    <n v="2500"/>
    <x v="0"/>
  </r>
  <r>
    <n v="3"/>
    <x v="2"/>
    <n v="800"/>
    <x v="0"/>
  </r>
  <r>
    <n v="4"/>
    <x v="3"/>
    <n v="20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n v="1"/>
    <d v="2024-01-01T00:00:00"/>
    <s v="Transação 1"/>
    <n v="-1564"/>
    <x v="0"/>
    <n v="5"/>
    <n v="2"/>
    <n v="1"/>
    <x v="0"/>
    <x v="0"/>
  </r>
  <r>
    <n v="2"/>
    <d v="2024-01-02T00:00:00"/>
    <s v="Transação 2"/>
    <n v="2118"/>
    <x v="1"/>
    <n v="1"/>
    <n v="2"/>
    <n v="1"/>
    <x v="0"/>
    <x v="0"/>
  </r>
  <r>
    <n v="3"/>
    <d v="2024-01-03T00:00:00"/>
    <s v="Transação 3"/>
    <n v="-3957"/>
    <x v="0"/>
    <n v="3"/>
    <n v="1"/>
    <n v="1"/>
    <x v="0"/>
    <x v="0"/>
  </r>
  <r>
    <n v="4"/>
    <d v="2024-01-04T00:00:00"/>
    <s v="Transação 4"/>
    <n v="3312"/>
    <x v="1"/>
    <n v="4"/>
    <n v="1"/>
    <n v="2"/>
    <x v="0"/>
    <x v="0"/>
  </r>
  <r>
    <n v="5"/>
    <d v="2024-01-05T00:00:00"/>
    <s v="Transação 5"/>
    <n v="-234"/>
    <x v="0"/>
    <n v="2"/>
    <n v="1"/>
    <n v="1"/>
    <x v="0"/>
    <x v="0"/>
  </r>
  <r>
    <n v="6"/>
    <d v="2024-01-06T00:00:00"/>
    <s v="Transação 6"/>
    <n v="3509"/>
    <x v="1"/>
    <n v="4"/>
    <n v="1"/>
    <n v="1"/>
    <x v="0"/>
    <x v="0"/>
  </r>
  <r>
    <n v="7"/>
    <d v="2024-01-07T00:00:00"/>
    <s v="Transação 7"/>
    <n v="-3018"/>
    <x v="0"/>
    <n v="3"/>
    <n v="2"/>
    <n v="1"/>
    <x v="0"/>
    <x v="0"/>
  </r>
  <r>
    <n v="8"/>
    <d v="2024-01-08T00:00:00"/>
    <s v="Transação 8"/>
    <n v="4473"/>
    <x v="1"/>
    <n v="1"/>
    <n v="3"/>
    <n v="2"/>
    <x v="0"/>
    <x v="0"/>
  </r>
  <r>
    <n v="9"/>
    <d v="2024-01-09T00:00:00"/>
    <s v="Transação 9"/>
    <n v="-271"/>
    <x v="0"/>
    <n v="2"/>
    <n v="2"/>
    <n v="1"/>
    <x v="0"/>
    <x v="0"/>
  </r>
  <r>
    <n v="10"/>
    <d v="2024-01-10T00:00:00"/>
    <s v="Transação 10"/>
    <n v="2632"/>
    <x v="1"/>
    <n v="3"/>
    <n v="2"/>
    <n v="2"/>
    <x v="0"/>
    <x v="0"/>
  </r>
  <r>
    <n v="11"/>
    <d v="2024-01-11T00:00:00"/>
    <s v="Transação 11"/>
    <n v="-920"/>
    <x v="0"/>
    <n v="3"/>
    <n v="2"/>
    <n v="2"/>
    <x v="0"/>
    <x v="0"/>
  </r>
  <r>
    <n v="12"/>
    <d v="2024-01-12T00:00:00"/>
    <s v="Transação 12"/>
    <n v="845"/>
    <x v="1"/>
    <n v="1"/>
    <n v="2"/>
    <n v="1"/>
    <x v="0"/>
    <x v="0"/>
  </r>
  <r>
    <n v="13"/>
    <d v="2024-01-13T00:00:00"/>
    <s v="Transação 13"/>
    <n v="-3347"/>
    <x v="0"/>
    <n v="3"/>
    <n v="3"/>
    <n v="1"/>
    <x v="0"/>
    <x v="0"/>
  </r>
  <r>
    <n v="14"/>
    <d v="2024-01-14T00:00:00"/>
    <s v="Transação 14"/>
    <n v="3095"/>
    <x v="1"/>
    <n v="2"/>
    <n v="1"/>
    <n v="1"/>
    <x v="0"/>
    <x v="0"/>
  </r>
  <r>
    <n v="15"/>
    <d v="2024-01-15T00:00:00"/>
    <s v="Transação 15"/>
    <n v="-1608"/>
    <x v="0"/>
    <n v="2"/>
    <n v="3"/>
    <n v="2"/>
    <x v="0"/>
    <x v="0"/>
  </r>
  <r>
    <n v="16"/>
    <d v="2024-01-16T00:00:00"/>
    <s v="Transação 16"/>
    <n v="741"/>
    <x v="1"/>
    <n v="4"/>
    <n v="1"/>
    <n v="2"/>
    <x v="0"/>
    <x v="0"/>
  </r>
  <r>
    <n v="17"/>
    <d v="2024-01-17T00:00:00"/>
    <s v="Transação 17"/>
    <n v="-1542"/>
    <x v="0"/>
    <n v="5"/>
    <n v="3"/>
    <n v="2"/>
    <x v="0"/>
    <x v="0"/>
  </r>
  <r>
    <n v="18"/>
    <d v="2024-01-18T00:00:00"/>
    <s v="Transação 18"/>
    <n v="4356"/>
    <x v="1"/>
    <n v="3"/>
    <n v="2"/>
    <n v="1"/>
    <x v="0"/>
    <x v="0"/>
  </r>
  <r>
    <n v="19"/>
    <d v="2024-01-19T00:00:00"/>
    <s v="Transação 19"/>
    <n v="-733"/>
    <x v="0"/>
    <n v="2"/>
    <n v="2"/>
    <n v="1"/>
    <x v="0"/>
    <x v="0"/>
  </r>
  <r>
    <n v="20"/>
    <d v="2024-01-20T00:00:00"/>
    <s v="Transação 20"/>
    <n v="2608"/>
    <x v="1"/>
    <n v="2"/>
    <n v="3"/>
    <n v="1"/>
    <x v="0"/>
    <x v="0"/>
  </r>
  <r>
    <n v="21"/>
    <d v="2024-01-21T00:00:00"/>
    <s v="Transação 21"/>
    <n v="-1750"/>
    <x v="0"/>
    <n v="1"/>
    <n v="3"/>
    <n v="1"/>
    <x v="0"/>
    <x v="0"/>
  </r>
  <r>
    <n v="22"/>
    <d v="2024-01-22T00:00:00"/>
    <s v="Transação 22"/>
    <n v="3069"/>
    <x v="1"/>
    <n v="4"/>
    <n v="2"/>
    <n v="1"/>
    <x v="0"/>
    <x v="0"/>
  </r>
  <r>
    <n v="23"/>
    <d v="2024-01-23T00:00:00"/>
    <s v="Transação 23"/>
    <n v="-1522"/>
    <x v="0"/>
    <n v="5"/>
    <n v="2"/>
    <n v="1"/>
    <x v="0"/>
    <x v="0"/>
  </r>
  <r>
    <n v="24"/>
    <d v="2024-01-24T00:00:00"/>
    <s v="Transação 24"/>
    <n v="2171"/>
    <x v="1"/>
    <n v="4"/>
    <n v="2"/>
    <n v="1"/>
    <x v="0"/>
    <x v="0"/>
  </r>
  <r>
    <n v="25"/>
    <d v="2024-01-25T00:00:00"/>
    <s v="Transação 25"/>
    <n v="-1488"/>
    <x v="0"/>
    <n v="1"/>
    <n v="3"/>
    <n v="1"/>
    <x v="0"/>
    <x v="0"/>
  </r>
  <r>
    <n v="26"/>
    <d v="2024-01-26T00:00:00"/>
    <s v="Transação 26"/>
    <n v="3378"/>
    <x v="1"/>
    <n v="5"/>
    <n v="3"/>
    <n v="1"/>
    <x v="0"/>
    <x v="0"/>
  </r>
  <r>
    <n v="27"/>
    <d v="2024-01-27T00:00:00"/>
    <s v="Transação 27"/>
    <n v="-580"/>
    <x v="0"/>
    <n v="1"/>
    <n v="3"/>
    <n v="2"/>
    <x v="0"/>
    <x v="0"/>
  </r>
  <r>
    <n v="28"/>
    <d v="2024-01-28T00:00:00"/>
    <s v="Transação 28"/>
    <n v="4188"/>
    <x v="1"/>
    <n v="4"/>
    <n v="1"/>
    <n v="2"/>
    <x v="0"/>
    <x v="0"/>
  </r>
  <r>
    <n v="29"/>
    <d v="2024-01-29T00:00:00"/>
    <s v="Transação 29"/>
    <n v="-4662"/>
    <x v="0"/>
    <n v="3"/>
    <n v="3"/>
    <n v="1"/>
    <x v="0"/>
    <x v="0"/>
  </r>
  <r>
    <n v="30"/>
    <d v="2024-01-30T00:00:00"/>
    <s v="Transação 30"/>
    <n v="975"/>
    <x v="1"/>
    <n v="1"/>
    <n v="2"/>
    <n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6718A9-E44E-4865-A726-BEADCEAC8C7D}" name="DespesasFixasPorCategoria" cacheId="3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 chartFormat="8">
  <location ref="J3:K8" firstHeaderRow="1" firstDataRow="1" firstDataCol="1" rowPageCount="1" colPageCount="1"/>
  <pivotFields count="4">
    <pivotField showAll="0"/>
    <pivotField axis="axisRow" showAll="0">
      <items count="5">
        <item x="1"/>
        <item x="3"/>
        <item x="0"/>
        <item x="2"/>
        <item t="default"/>
      </items>
    </pivotField>
    <pivotField dataField="1" showAll="0"/>
    <pivotField axis="axisPage" showAll="0">
      <items count="2">
        <item x="0"/>
        <item t="default"/>
      </items>
    </pivotField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3" hier="-1"/>
  </pageFields>
  <dataFields count="1">
    <dataField name="Soma de Valor" fld="2" baseField="0" baseItem="0" numFmtId="4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D392CD-EB10-4F5B-9FE4-ADD385F2CA97}" name="ReceitasPorFonteDeRenda" cacheId="6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 chartFormat="12">
  <location ref="G6:H20" firstHeaderRow="1" firstDataRow="1" firstDataCol="1" rowPageCount="4" colPageCount="1"/>
  <pivotFields count="10">
    <pivotField showAll="0"/>
    <pivotField numFmtId="14" showAll="0"/>
    <pivotField axis="axisRow" showAll="0">
      <items count="31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8"/>
        <item x="2"/>
        <item x="29"/>
        <item x="3"/>
        <item x="4"/>
        <item x="5"/>
        <item x="6"/>
        <item x="7"/>
        <item x="8"/>
        <item t="default"/>
      </items>
    </pivotField>
    <pivotField dataField="1" showAll="0"/>
    <pivotField showAll="0"/>
    <pivotField showAll="0"/>
    <pivotField axis="axisPage" showAll="0">
      <items count="4">
        <item n="Marido" x="1"/>
        <item n="Esposa" x="0"/>
        <item n="Filho" x="2"/>
        <item t="default"/>
      </items>
    </pivotField>
    <pivotField axis="axisPage" showAll="0">
      <items count="3">
        <item n="Fixa" x="0"/>
        <item n="Variável" x="1"/>
        <item t="default"/>
      </items>
    </pivotField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</pivotFields>
  <rowFields count="1">
    <field x="2"/>
  </rowFields>
  <rowItems count="14">
    <i>
      <x/>
    </i>
    <i>
      <x v="1"/>
    </i>
    <i>
      <x v="2"/>
    </i>
    <i>
      <x v="3"/>
    </i>
    <i>
      <x v="9"/>
    </i>
    <i>
      <x v="10"/>
    </i>
    <i>
      <x v="11"/>
    </i>
    <i>
      <x v="14"/>
    </i>
    <i>
      <x v="15"/>
    </i>
    <i>
      <x v="16"/>
    </i>
    <i>
      <x v="23"/>
    </i>
    <i>
      <x v="27"/>
    </i>
    <i>
      <x v="29"/>
    </i>
    <i t="grand">
      <x/>
    </i>
  </rowItems>
  <colItems count="1">
    <i/>
  </colItems>
  <pageFields count="4">
    <pageField fld="9" item="0" hier="-1"/>
    <pageField fld="8" item="0" hier="-1"/>
    <pageField fld="7" hier="-1"/>
    <pageField fld="6" item="1" hier="-1"/>
  </pageFields>
  <dataFields count="1">
    <dataField name="Soma de Valor" fld="3" baseField="0" baseItem="0" numFmtId="4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049CD6-1873-40DD-A353-7BDBC4B158A1}" name="TransacoesPorConta" cacheId="5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 chartFormat="10">
  <location ref="D1:E7" firstHeaderRow="1" firstDataRow="1" firstDataCol="1"/>
  <pivotFields count="8">
    <pivotField showAll="0"/>
    <pivotField numFmtId="14" showAll="0"/>
    <pivotField showAll="0"/>
    <pivotField dataField="1" showAll="0"/>
    <pivotField showAll="0"/>
    <pivotField axis="axisRow" showAll="0">
      <items count="6">
        <item n="Conta Corrente Marido" x="1"/>
        <item n="Conta Poupança Marido" x="4"/>
        <item n="Conta Corrente Esposa" x="2"/>
        <item n="Conta Empresarial" x="3"/>
        <item n="Conta Emergencial" x="0"/>
        <item t="default"/>
      </items>
    </pivotField>
    <pivotField showAll="0"/>
    <pivotField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Valor" fld="3" baseField="0" baseItem="0" numFmtId="4"/>
  </dataFields>
  <formats count="6">
    <format dxfId="8">
      <pivotArea field="5" type="button" dataOnly="0" labelOnly="1" outline="0" axis="axisRow" fieldPosition="0"/>
    </format>
    <format dxfId="7">
      <pivotArea dataOnly="0" labelOnly="1" outline="0" axis="axisValues" fieldPosition="0"/>
    </format>
    <format dxfId="6">
      <pivotArea field="5" type="button" dataOnly="0" labelOnly="1" outline="0" axis="axisRow" fieldPosition="0"/>
    </format>
    <format dxfId="5">
      <pivotArea dataOnly="0" labelOnly="1" outline="0" axis="axisValues" fieldPosition="0"/>
    </format>
    <format dxfId="4">
      <pivotArea field="5" type="button" dataOnly="0" labelOnly="1" outline="0" axis="axisRow" fieldPosition="0"/>
    </format>
    <format dxfId="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3B6ADD-51F2-43FE-80AB-B51DF3EDBBF3}" name="ResumoDividas" cacheId="0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 chartFormat="13">
  <location ref="A15:B21" firstHeaderRow="1" firstDataRow="1" firstDataCol="1" rowPageCount="1" colPageCount="1"/>
  <pivotFields count="5">
    <pivotField showAll="0"/>
    <pivotField axis="axisRow" showAll="0" sortType="ascending">
      <items count="11">
        <item x="8"/>
        <item x="7"/>
        <item x="6"/>
        <item x="5"/>
        <item x="4"/>
        <item x="3"/>
        <item x="2"/>
        <item x="1"/>
        <item x="9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axis="axisPage" showAll="0">
      <items count="3">
        <item x="1"/>
        <item x="0"/>
        <item t="default"/>
      </items>
    </pivotField>
  </pivotFields>
  <rowFields count="1">
    <field x="1"/>
  </rowFields>
  <rowItems count="6">
    <i>
      <x v="7"/>
    </i>
    <i>
      <x v="3"/>
    </i>
    <i>
      <x v="8"/>
    </i>
    <i>
      <x v="1"/>
    </i>
    <i>
      <x v="5"/>
    </i>
    <i t="grand">
      <x/>
    </i>
  </rowItems>
  <colItems count="1">
    <i/>
  </colItems>
  <pageFields count="1">
    <pageField fld="4" item="0" hier="-1"/>
  </pageFields>
  <dataFields count="1">
    <dataField name="Soma de Valor" fld="2" baseField="0" baseItem="0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BEAEA-E47E-41C1-B6E9-9AC20ABE3C62}" name="ResumoReceitasDespesas" cacheId="7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 chartFormat="19">
  <location ref="A4:B7" firstHeaderRow="1" firstDataRow="1" firstDataCol="1" rowPageCount="2" colPageCount="1"/>
  <pivotFields count="10">
    <pivotField showAll="0"/>
    <pivotField numFmtId="14" showAll="0"/>
    <pivotField showAll="0"/>
    <pivotField dataField="1"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</pivotFields>
  <rowFields count="1">
    <field x="4"/>
  </rowFields>
  <rowItems count="3">
    <i>
      <x/>
    </i>
    <i>
      <x v="1"/>
    </i>
    <i t="grand">
      <x/>
    </i>
  </rowItems>
  <colItems count="1">
    <i/>
  </colItems>
  <pageFields count="2">
    <pageField fld="8" item="0" hier="-1"/>
    <pageField fld="9" item="0" hier="-1"/>
  </pageFields>
  <dataFields count="1">
    <dataField name="Soma de Valor" fld="3" baseField="0" baseItem="0"/>
  </dataFields>
  <chartFormats count="5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4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2AE1D9-7788-41C5-95B8-8E00E713B200}" name="tblTransacoesFinanceiras" displayName="tblTransacoesFinanceiras" ref="A1:J31" totalsRowShown="0" headerRowDxfId="22" dataDxfId="54" headerRowBorderDxfId="21">
  <autoFilter ref="A1:J31" xr:uid="{502AE1D9-7788-41C5-95B8-8E00E713B200}"/>
  <tableColumns count="10">
    <tableColumn id="1" xr3:uid="{B40838F7-A6FA-406A-AFA1-AAF0516F8D19}" name="ID_Transacao" dataDxfId="35"/>
    <tableColumn id="2" xr3:uid="{E645E107-46A8-40DC-A6B8-A84B4A7536EB}" name="Data" dataDxfId="36"/>
    <tableColumn id="3" xr3:uid="{B20CC567-66D8-4E60-B208-06B90E438385}" name="Descrição" dataDxfId="2"/>
    <tableColumn id="4" xr3:uid="{4E55856D-9179-4A83-AB26-7B39179A5AE9}" name="Valor" dataDxfId="0"/>
    <tableColumn id="5" xr3:uid="{3C2EC41F-1954-434F-86DC-A0DBC48C9464}" name="Categoria" dataDxfId="1"/>
    <tableColumn id="6" xr3:uid="{1EDE1BEE-314F-44C9-AAF1-C0340FA27DE7}" name="ID_Conta" dataDxfId="59"/>
    <tableColumn id="7" xr3:uid="{ED315956-F19E-4E43-A1CF-57CC6A4A33CB}" name="ID_Membro_Familia" dataDxfId="58"/>
    <tableColumn id="8" xr3:uid="{2FD798B1-FB9D-44B9-8924-CEE3C67C9AF1}" name="ID_Tipo_Renda" dataDxfId="57"/>
    <tableColumn id="9" xr3:uid="{C2942D8F-F018-43EC-AB2C-60EC024652E3}" name="Mês" dataDxfId="56"/>
    <tableColumn id="10" xr3:uid="{288B4CFA-C503-4AA8-8302-935E95684B86}" name="Ano" data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AF4AE4-E942-425C-9266-BF360624E40B}" name="tblContas" displayName="tblContas" ref="A1:F6" totalsRowShown="0" headerRowDxfId="20" dataDxfId="49" headerRowBorderDxfId="19">
  <autoFilter ref="A1:F6" xr:uid="{AEAF4AE4-E942-425C-9266-BF360624E40B}"/>
  <tableColumns count="6">
    <tableColumn id="1" xr3:uid="{D5BA3554-2FE5-4339-8325-E9585B77FCBC}" name="ID_Conta" dataDxfId="33"/>
    <tableColumn id="2" xr3:uid="{FDC44BD3-DC82-4853-BEC9-CD84000476FB}" name="Nome_Conta" dataDxfId="34"/>
    <tableColumn id="3" xr3:uid="{43B05DB4-A9A0-4FE1-8F97-6D897B3E509B}" name="Tipo" dataDxfId="53"/>
    <tableColumn id="4" xr3:uid="{1492CED9-A896-43BC-84AA-756FA559C727}" name="Banco" dataDxfId="52"/>
    <tableColumn id="5" xr3:uid="{08DAB22A-9D00-44AE-8BF8-F9F0864A3ACE}" name="Numero_Agencia" dataDxfId="51"/>
    <tableColumn id="6" xr3:uid="{682D6377-D968-4F34-9A09-B339397EAF0E}" name="Numero_Conta" dataDxfId="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D180BDA-9E2D-4015-B406-FC23F5B52187}" name="tblDividas" displayName="tblDividas" ref="A1:E11" totalsRowShown="0" headerRowDxfId="18" dataDxfId="37" headerRowBorderDxfId="17">
  <autoFilter ref="A1:E11" xr:uid="{3D180BDA-9E2D-4015-B406-FC23F5B52187}"/>
  <tableColumns count="5">
    <tableColumn id="1" xr3:uid="{DAE8FF65-C2D1-43D6-B54C-FD15888F631F}" name="ID_Dívida" dataDxfId="23"/>
    <tableColumn id="2" xr3:uid="{5B0BA565-28DA-4A49-8FED-F7499769E405}" name="Descrição" dataDxfId="24"/>
    <tableColumn id="3" xr3:uid="{637AEBFA-F699-4027-92A4-AC5D35D3F14F}" name="Valor" dataDxfId="40"/>
    <tableColumn id="4" xr3:uid="{D0D32886-B9DD-47E6-B10B-0CA084C5D3DD}" name="ID_Conta" dataDxfId="39"/>
    <tableColumn id="5" xr3:uid="{EF81CC40-C65D-4E1D-8C01-392C341ACEE4}" name="Status" dataDxfId="3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C3E928D-806B-40F2-8D9A-E0052C2E4B41}" name="tblTiposRenda" displayName="tblTiposRenda" ref="A1:B4" totalsRowShown="0" headerRowDxfId="16" dataDxfId="46" headerRowBorderDxfId="15">
  <autoFilter ref="A1:B4" xr:uid="{1C3E928D-806B-40F2-8D9A-E0052C2E4B41}"/>
  <tableColumns count="2">
    <tableColumn id="1" xr3:uid="{A7F85EC3-6211-4C71-B399-DE67342CB35E}" name="ID_Tipo_Renda" dataDxfId="29"/>
    <tableColumn id="2" xr3:uid="{E1C18334-66E2-4809-BC60-03BEB320E242}" name="Descrição" dataDxfId="3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83FC524-AB36-4518-A40C-DD7D34A3E90D}" name="tblDespesasFixas" displayName="tblDespesasFixas" ref="A1:D5" totalsRowShown="0" headerRowDxfId="14" dataDxfId="43" headerRowBorderDxfId="13">
  <autoFilter ref="A1:D5" xr:uid="{783FC524-AB36-4518-A40C-DD7D34A3E90D}"/>
  <tableColumns count="4">
    <tableColumn id="1" xr3:uid="{E86A39FD-5E3E-4D0A-BF48-13641A229BDB}" name="ID_Despesa" dataDxfId="27"/>
    <tableColumn id="2" xr3:uid="{CA28E3B2-D947-49F2-AA48-1ABDE86E0600}" name="Descrição" dataDxfId="28"/>
    <tableColumn id="3" xr3:uid="{852A00FE-82A5-41EB-8091-EFF680B47A16}" name="Valor" dataDxfId="45"/>
    <tableColumn id="4" xr3:uid="{D3EE9B8E-A129-4FFE-A071-D7C7779F76C5}" name="Frequência" dataDxfId="4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C43F242-AC0B-48AC-B9E2-740F14195FD5}" name="tblEmpresasTrabalho" displayName="tblEmpresasTrabalho" ref="A1:C4" totalsRowShown="0" headerRowDxfId="12" dataDxfId="41" headerRowBorderDxfId="11">
  <autoFilter ref="A1:C4" xr:uid="{1C43F242-AC0B-48AC-B9E2-740F14195FD5}"/>
  <tableColumns count="3">
    <tableColumn id="1" xr3:uid="{C1360884-0661-4E09-A8AD-75AF50D4F715}" name="ID_Empresa" dataDxfId="25"/>
    <tableColumn id="2" xr3:uid="{BAD5A2BC-7FA3-4B57-AA7C-8F1FF1D91C1D}" name="Nome_Empresa" dataDxfId="26"/>
    <tableColumn id="3" xr3:uid="{A71D9655-5EEC-4465-A324-54BAB993DAB0}" name="Tipo" dataDxfId="4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488FBA-E26E-401A-A689-D7AD7B617C86}" name="tblMembrosFamilia" displayName="tblMembrosFamilia" ref="A1:C5" totalsRowShown="0" headerRowDxfId="10" dataDxfId="47" headerRowBorderDxfId="9">
  <autoFilter ref="A1:C5" xr:uid="{F2488FBA-E26E-401A-A689-D7AD7B617C86}"/>
  <tableColumns count="3">
    <tableColumn id="1" xr3:uid="{31F2E2F0-1904-49E2-8629-45A0DACFE59C}" name="ID_Membro_Familia" dataDxfId="31"/>
    <tableColumn id="2" xr3:uid="{48AA305F-10C5-4420-BD6A-EB7106F805D4}" name="Nome" dataDxfId="32"/>
    <tableColumn id="3" xr3:uid="{088AF746-3079-4E61-B083-7F48212885CC}" name="Relação" dataDxfId="4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6AE93-E9DE-496F-A576-CEFA759CED3B}">
  <sheetPr codeName="Planilha2"/>
  <dimension ref="A1:Z31"/>
  <sheetViews>
    <sheetView tabSelected="1" topLeftCell="A9" workbookViewId="0">
      <selection activeCell="E33" sqref="E33"/>
    </sheetView>
  </sheetViews>
  <sheetFormatPr defaultColWidth="0" defaultRowHeight="15" x14ac:dyDescent="0.25"/>
  <cols>
    <col min="1" max="1" width="8" style="8" customWidth="1"/>
    <col min="2" max="2" width="10.42578125" style="6" bestFit="1" customWidth="1"/>
    <col min="3" max="3" width="12.140625" style="6" customWidth="1"/>
    <col min="4" max="4" width="7.7109375" style="14" customWidth="1"/>
    <col min="5" max="5" width="11.85546875" style="6" customWidth="1"/>
    <col min="6" max="6" width="11.42578125" style="6" customWidth="1"/>
    <col min="7" max="7" width="20.7109375" style="6" customWidth="1"/>
    <col min="8" max="8" width="16.42578125" style="6" customWidth="1"/>
    <col min="9" max="10" width="9.140625" style="6" customWidth="1"/>
    <col min="11" max="12" width="0" style="6" hidden="1" customWidth="1"/>
    <col min="13" max="16384" width="9.140625" style="6" hidden="1"/>
  </cols>
  <sheetData>
    <row r="1" spans="1:26" x14ac:dyDescent="0.25">
      <c r="A1" s="9" t="s">
        <v>0</v>
      </c>
      <c r="B1" s="10" t="s">
        <v>1</v>
      </c>
      <c r="C1" s="10" t="s">
        <v>2</v>
      </c>
      <c r="D1" s="13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104</v>
      </c>
      <c r="J1" s="10" t="s">
        <v>105</v>
      </c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x14ac:dyDescent="0.25">
      <c r="A2" s="8">
        <v>1</v>
      </c>
      <c r="B2" s="7">
        <v>45292</v>
      </c>
      <c r="C2" s="6" t="s">
        <v>42</v>
      </c>
      <c r="D2" s="14">
        <v>-1564</v>
      </c>
      <c r="E2" s="6" t="s">
        <v>43</v>
      </c>
      <c r="F2" s="6">
        <v>5</v>
      </c>
      <c r="G2" s="6">
        <v>2</v>
      </c>
      <c r="H2" s="6">
        <v>1</v>
      </c>
      <c r="I2" s="6">
        <v>1</v>
      </c>
      <c r="J2" s="6">
        <v>2024</v>
      </c>
    </row>
    <row r="3" spans="1:26" x14ac:dyDescent="0.25">
      <c r="A3" s="8">
        <v>2</v>
      </c>
      <c r="B3" s="7">
        <v>45293</v>
      </c>
      <c r="C3" s="6" t="s">
        <v>44</v>
      </c>
      <c r="D3" s="14">
        <v>2118</v>
      </c>
      <c r="E3" s="6" t="s">
        <v>21</v>
      </c>
      <c r="F3" s="6">
        <v>1</v>
      </c>
      <c r="G3" s="6">
        <v>2</v>
      </c>
      <c r="H3" s="6">
        <v>1</v>
      </c>
      <c r="I3" s="6">
        <v>1</v>
      </c>
      <c r="J3" s="6">
        <v>2024</v>
      </c>
    </row>
    <row r="4" spans="1:26" x14ac:dyDescent="0.25">
      <c r="A4" s="8">
        <v>3</v>
      </c>
      <c r="B4" s="7">
        <v>45294</v>
      </c>
      <c r="C4" s="6" t="s">
        <v>45</v>
      </c>
      <c r="D4" s="14">
        <v>-3957</v>
      </c>
      <c r="E4" s="6" t="s">
        <v>43</v>
      </c>
      <c r="F4" s="6">
        <v>3</v>
      </c>
      <c r="G4" s="6">
        <v>1</v>
      </c>
      <c r="H4" s="6">
        <v>1</v>
      </c>
      <c r="I4" s="6">
        <v>1</v>
      </c>
      <c r="J4" s="6">
        <v>2024</v>
      </c>
    </row>
    <row r="5" spans="1:26" x14ac:dyDescent="0.25">
      <c r="A5" s="8">
        <v>4</v>
      </c>
      <c r="B5" s="7">
        <v>45295</v>
      </c>
      <c r="C5" s="6" t="s">
        <v>46</v>
      </c>
      <c r="D5" s="14">
        <v>3312</v>
      </c>
      <c r="E5" s="6" t="s">
        <v>21</v>
      </c>
      <c r="F5" s="6">
        <v>4</v>
      </c>
      <c r="G5" s="6">
        <v>1</v>
      </c>
      <c r="H5" s="6">
        <v>2</v>
      </c>
      <c r="I5" s="6">
        <v>1</v>
      </c>
      <c r="J5" s="6">
        <v>2024</v>
      </c>
    </row>
    <row r="6" spans="1:26" x14ac:dyDescent="0.25">
      <c r="A6" s="8">
        <v>5</v>
      </c>
      <c r="B6" s="7">
        <v>45296</v>
      </c>
      <c r="C6" s="6" t="s">
        <v>47</v>
      </c>
      <c r="D6" s="14">
        <v>-234</v>
      </c>
      <c r="E6" s="6" t="s">
        <v>43</v>
      </c>
      <c r="F6" s="6">
        <v>2</v>
      </c>
      <c r="G6" s="6">
        <v>1</v>
      </c>
      <c r="H6" s="6">
        <v>1</v>
      </c>
      <c r="I6" s="6">
        <v>1</v>
      </c>
      <c r="J6" s="6">
        <v>2024</v>
      </c>
    </row>
    <row r="7" spans="1:26" x14ac:dyDescent="0.25">
      <c r="A7" s="8">
        <v>6</v>
      </c>
      <c r="B7" s="7">
        <v>45297</v>
      </c>
      <c r="C7" s="6" t="s">
        <v>48</v>
      </c>
      <c r="D7" s="14">
        <v>3509</v>
      </c>
      <c r="E7" s="6" t="s">
        <v>21</v>
      </c>
      <c r="F7" s="6">
        <v>4</v>
      </c>
      <c r="G7" s="6">
        <v>1</v>
      </c>
      <c r="H7" s="6">
        <v>1</v>
      </c>
      <c r="I7" s="6">
        <v>1</v>
      </c>
      <c r="J7" s="6">
        <v>2024</v>
      </c>
    </row>
    <row r="8" spans="1:26" x14ac:dyDescent="0.25">
      <c r="A8" s="8">
        <v>7</v>
      </c>
      <c r="B8" s="7">
        <v>45298</v>
      </c>
      <c r="C8" s="6" t="s">
        <v>49</v>
      </c>
      <c r="D8" s="14">
        <v>-3018</v>
      </c>
      <c r="E8" s="6" t="s">
        <v>43</v>
      </c>
      <c r="F8" s="6">
        <v>3</v>
      </c>
      <c r="G8" s="6">
        <v>2</v>
      </c>
      <c r="H8" s="6">
        <v>1</v>
      </c>
      <c r="I8" s="6">
        <v>1</v>
      </c>
      <c r="J8" s="6">
        <v>2024</v>
      </c>
    </row>
    <row r="9" spans="1:26" x14ac:dyDescent="0.25">
      <c r="A9" s="8">
        <v>8</v>
      </c>
      <c r="B9" s="7">
        <v>45299</v>
      </c>
      <c r="C9" s="6" t="s">
        <v>50</v>
      </c>
      <c r="D9" s="14">
        <v>4473</v>
      </c>
      <c r="E9" s="6" t="s">
        <v>21</v>
      </c>
      <c r="F9" s="6">
        <v>1</v>
      </c>
      <c r="G9" s="6">
        <v>3</v>
      </c>
      <c r="H9" s="6">
        <v>2</v>
      </c>
      <c r="I9" s="6">
        <v>1</v>
      </c>
      <c r="J9" s="6">
        <v>2024</v>
      </c>
    </row>
    <row r="10" spans="1:26" x14ac:dyDescent="0.25">
      <c r="A10" s="8">
        <v>9</v>
      </c>
      <c r="B10" s="7">
        <v>45300</v>
      </c>
      <c r="C10" s="6" t="s">
        <v>51</v>
      </c>
      <c r="D10" s="14">
        <v>-271</v>
      </c>
      <c r="E10" s="6" t="s">
        <v>43</v>
      </c>
      <c r="F10" s="6">
        <v>2</v>
      </c>
      <c r="G10" s="6">
        <v>2</v>
      </c>
      <c r="H10" s="6">
        <v>1</v>
      </c>
      <c r="I10" s="6">
        <v>1</v>
      </c>
      <c r="J10" s="6">
        <v>2024</v>
      </c>
    </row>
    <row r="11" spans="1:26" x14ac:dyDescent="0.25">
      <c r="A11" s="8">
        <v>10</v>
      </c>
      <c r="B11" s="7">
        <v>45301</v>
      </c>
      <c r="C11" s="6" t="s">
        <v>52</v>
      </c>
      <c r="D11" s="14">
        <v>2632</v>
      </c>
      <c r="E11" s="6" t="s">
        <v>21</v>
      </c>
      <c r="F11" s="6">
        <v>3</v>
      </c>
      <c r="G11" s="6">
        <v>2</v>
      </c>
      <c r="H11" s="6">
        <v>2</v>
      </c>
      <c r="I11" s="6">
        <v>1</v>
      </c>
      <c r="J11" s="6">
        <v>2024</v>
      </c>
    </row>
    <row r="12" spans="1:26" x14ac:dyDescent="0.25">
      <c r="A12" s="8">
        <v>11</v>
      </c>
      <c r="B12" s="7">
        <v>45302</v>
      </c>
      <c r="C12" s="6" t="s">
        <v>53</v>
      </c>
      <c r="D12" s="14">
        <v>-920</v>
      </c>
      <c r="E12" s="6" t="s">
        <v>43</v>
      </c>
      <c r="F12" s="6">
        <v>3</v>
      </c>
      <c r="G12" s="6">
        <v>2</v>
      </c>
      <c r="H12" s="6">
        <v>2</v>
      </c>
      <c r="I12" s="6">
        <v>1</v>
      </c>
      <c r="J12" s="6">
        <v>2024</v>
      </c>
    </row>
    <row r="13" spans="1:26" x14ac:dyDescent="0.25">
      <c r="A13" s="8">
        <v>12</v>
      </c>
      <c r="B13" s="7">
        <v>45303</v>
      </c>
      <c r="C13" s="6" t="s">
        <v>54</v>
      </c>
      <c r="D13" s="14">
        <v>845</v>
      </c>
      <c r="E13" s="6" t="s">
        <v>21</v>
      </c>
      <c r="F13" s="6">
        <v>1</v>
      </c>
      <c r="G13" s="6">
        <v>2</v>
      </c>
      <c r="H13" s="6">
        <v>1</v>
      </c>
      <c r="I13" s="6">
        <v>1</v>
      </c>
      <c r="J13" s="6">
        <v>2024</v>
      </c>
    </row>
    <row r="14" spans="1:26" x14ac:dyDescent="0.25">
      <c r="A14" s="8">
        <v>13</v>
      </c>
      <c r="B14" s="7">
        <v>45304</v>
      </c>
      <c r="C14" s="6" t="s">
        <v>55</v>
      </c>
      <c r="D14" s="14">
        <v>-3347</v>
      </c>
      <c r="E14" s="6" t="s">
        <v>43</v>
      </c>
      <c r="F14" s="6">
        <v>3</v>
      </c>
      <c r="G14" s="6">
        <v>3</v>
      </c>
      <c r="H14" s="6">
        <v>1</v>
      </c>
      <c r="I14" s="6">
        <v>1</v>
      </c>
      <c r="J14" s="6">
        <v>2024</v>
      </c>
    </row>
    <row r="15" spans="1:26" x14ac:dyDescent="0.25">
      <c r="A15" s="8">
        <v>14</v>
      </c>
      <c r="B15" s="7">
        <v>45305</v>
      </c>
      <c r="C15" s="6" t="s">
        <v>56</v>
      </c>
      <c r="D15" s="14">
        <v>3095</v>
      </c>
      <c r="E15" s="6" t="s">
        <v>21</v>
      </c>
      <c r="F15" s="6">
        <v>2</v>
      </c>
      <c r="G15" s="6">
        <v>1</v>
      </c>
      <c r="H15" s="6">
        <v>1</v>
      </c>
      <c r="I15" s="6">
        <v>1</v>
      </c>
      <c r="J15" s="6">
        <v>2024</v>
      </c>
    </row>
    <row r="16" spans="1:26" x14ac:dyDescent="0.25">
      <c r="A16" s="8">
        <v>15</v>
      </c>
      <c r="B16" s="7">
        <v>45306</v>
      </c>
      <c r="C16" s="6" t="s">
        <v>57</v>
      </c>
      <c r="D16" s="14">
        <v>-1608</v>
      </c>
      <c r="E16" s="6" t="s">
        <v>43</v>
      </c>
      <c r="F16" s="6">
        <v>2</v>
      </c>
      <c r="G16" s="6">
        <v>3</v>
      </c>
      <c r="H16" s="6">
        <v>2</v>
      </c>
      <c r="I16" s="6">
        <v>1</v>
      </c>
      <c r="J16" s="6">
        <v>2024</v>
      </c>
    </row>
    <row r="17" spans="1:10" x14ac:dyDescent="0.25">
      <c r="A17" s="8">
        <v>16</v>
      </c>
      <c r="B17" s="7">
        <v>45307</v>
      </c>
      <c r="C17" s="6" t="s">
        <v>58</v>
      </c>
      <c r="D17" s="14">
        <v>741</v>
      </c>
      <c r="E17" s="6" t="s">
        <v>21</v>
      </c>
      <c r="F17" s="6">
        <v>4</v>
      </c>
      <c r="G17" s="6">
        <v>1</v>
      </c>
      <c r="H17" s="6">
        <v>2</v>
      </c>
      <c r="I17" s="6">
        <v>1</v>
      </c>
      <c r="J17" s="6">
        <v>2024</v>
      </c>
    </row>
    <row r="18" spans="1:10" x14ac:dyDescent="0.25">
      <c r="A18" s="8">
        <v>17</v>
      </c>
      <c r="B18" s="7">
        <v>45308</v>
      </c>
      <c r="C18" s="6" t="s">
        <v>59</v>
      </c>
      <c r="D18" s="14">
        <v>-1542</v>
      </c>
      <c r="E18" s="6" t="s">
        <v>43</v>
      </c>
      <c r="F18" s="6">
        <v>5</v>
      </c>
      <c r="G18" s="6">
        <v>3</v>
      </c>
      <c r="H18" s="6">
        <v>2</v>
      </c>
      <c r="I18" s="6">
        <v>1</v>
      </c>
      <c r="J18" s="6">
        <v>2024</v>
      </c>
    </row>
    <row r="19" spans="1:10" x14ac:dyDescent="0.25">
      <c r="A19" s="8">
        <v>18</v>
      </c>
      <c r="B19" s="7">
        <v>45309</v>
      </c>
      <c r="C19" s="6" t="s">
        <v>60</v>
      </c>
      <c r="D19" s="14">
        <v>4356</v>
      </c>
      <c r="E19" s="6" t="s">
        <v>21</v>
      </c>
      <c r="F19" s="6">
        <v>3</v>
      </c>
      <c r="G19" s="6">
        <v>2</v>
      </c>
      <c r="H19" s="6">
        <v>1</v>
      </c>
      <c r="I19" s="6">
        <v>1</v>
      </c>
      <c r="J19" s="6">
        <v>2024</v>
      </c>
    </row>
    <row r="20" spans="1:10" x14ac:dyDescent="0.25">
      <c r="A20" s="8">
        <v>19</v>
      </c>
      <c r="B20" s="7">
        <v>45310</v>
      </c>
      <c r="C20" s="6" t="s">
        <v>61</v>
      </c>
      <c r="D20" s="14">
        <v>-733</v>
      </c>
      <c r="E20" s="6" t="s">
        <v>43</v>
      </c>
      <c r="F20" s="6">
        <v>2</v>
      </c>
      <c r="G20" s="6">
        <v>2</v>
      </c>
      <c r="H20" s="6">
        <v>1</v>
      </c>
      <c r="I20" s="6">
        <v>1</v>
      </c>
      <c r="J20" s="6">
        <v>2024</v>
      </c>
    </row>
    <row r="21" spans="1:10" x14ac:dyDescent="0.25">
      <c r="A21" s="8">
        <v>20</v>
      </c>
      <c r="B21" s="7">
        <v>45311</v>
      </c>
      <c r="C21" s="6" t="s">
        <v>62</v>
      </c>
      <c r="D21" s="14">
        <v>2608</v>
      </c>
      <c r="E21" s="6" t="s">
        <v>21</v>
      </c>
      <c r="F21" s="6">
        <v>2</v>
      </c>
      <c r="G21" s="6">
        <v>3</v>
      </c>
      <c r="H21" s="6">
        <v>1</v>
      </c>
      <c r="I21" s="6">
        <v>1</v>
      </c>
      <c r="J21" s="6">
        <v>2024</v>
      </c>
    </row>
    <row r="22" spans="1:10" x14ac:dyDescent="0.25">
      <c r="A22" s="8">
        <v>21</v>
      </c>
      <c r="B22" s="7">
        <v>45312</v>
      </c>
      <c r="C22" s="6" t="s">
        <v>63</v>
      </c>
      <c r="D22" s="14">
        <v>-1750</v>
      </c>
      <c r="E22" s="6" t="s">
        <v>43</v>
      </c>
      <c r="F22" s="6">
        <v>1</v>
      </c>
      <c r="G22" s="6">
        <v>3</v>
      </c>
      <c r="H22" s="6">
        <v>1</v>
      </c>
      <c r="I22" s="6">
        <v>1</v>
      </c>
      <c r="J22" s="6">
        <v>2024</v>
      </c>
    </row>
    <row r="23" spans="1:10" x14ac:dyDescent="0.25">
      <c r="A23" s="8">
        <v>22</v>
      </c>
      <c r="B23" s="7">
        <v>45313</v>
      </c>
      <c r="C23" s="6" t="s">
        <v>64</v>
      </c>
      <c r="D23" s="14">
        <v>3069</v>
      </c>
      <c r="E23" s="6" t="s">
        <v>21</v>
      </c>
      <c r="F23" s="6">
        <v>4</v>
      </c>
      <c r="G23" s="6">
        <v>2</v>
      </c>
      <c r="H23" s="6">
        <v>1</v>
      </c>
      <c r="I23" s="6">
        <v>1</v>
      </c>
      <c r="J23" s="6">
        <v>2024</v>
      </c>
    </row>
    <row r="24" spans="1:10" x14ac:dyDescent="0.25">
      <c r="A24" s="8">
        <v>23</v>
      </c>
      <c r="B24" s="7">
        <v>45314</v>
      </c>
      <c r="C24" s="6" t="s">
        <v>65</v>
      </c>
      <c r="D24" s="14">
        <v>-1522</v>
      </c>
      <c r="E24" s="6" t="s">
        <v>43</v>
      </c>
      <c r="F24" s="6">
        <v>5</v>
      </c>
      <c r="G24" s="6">
        <v>2</v>
      </c>
      <c r="H24" s="6">
        <v>1</v>
      </c>
      <c r="I24" s="6">
        <v>1</v>
      </c>
      <c r="J24" s="6">
        <v>2024</v>
      </c>
    </row>
    <row r="25" spans="1:10" x14ac:dyDescent="0.25">
      <c r="A25" s="8">
        <v>24</v>
      </c>
      <c r="B25" s="7">
        <v>45315</v>
      </c>
      <c r="C25" s="6" t="s">
        <v>66</v>
      </c>
      <c r="D25" s="14">
        <v>2171</v>
      </c>
      <c r="E25" s="6" t="s">
        <v>21</v>
      </c>
      <c r="F25" s="6">
        <v>4</v>
      </c>
      <c r="G25" s="6">
        <v>2</v>
      </c>
      <c r="H25" s="6">
        <v>1</v>
      </c>
      <c r="I25" s="6">
        <v>1</v>
      </c>
      <c r="J25" s="6">
        <v>2024</v>
      </c>
    </row>
    <row r="26" spans="1:10" x14ac:dyDescent="0.25">
      <c r="A26" s="8">
        <v>25</v>
      </c>
      <c r="B26" s="7">
        <v>45316</v>
      </c>
      <c r="C26" s="6" t="s">
        <v>67</v>
      </c>
      <c r="D26" s="14">
        <v>-1488</v>
      </c>
      <c r="E26" s="6" t="s">
        <v>43</v>
      </c>
      <c r="F26" s="6">
        <v>1</v>
      </c>
      <c r="G26" s="6">
        <v>3</v>
      </c>
      <c r="H26" s="6">
        <v>1</v>
      </c>
      <c r="I26" s="6">
        <v>1</v>
      </c>
      <c r="J26" s="6">
        <v>2024</v>
      </c>
    </row>
    <row r="27" spans="1:10" x14ac:dyDescent="0.25">
      <c r="A27" s="8">
        <v>26</v>
      </c>
      <c r="B27" s="7">
        <v>45317</v>
      </c>
      <c r="C27" s="6" t="s">
        <v>68</v>
      </c>
      <c r="D27" s="14">
        <v>3378</v>
      </c>
      <c r="E27" s="6" t="s">
        <v>21</v>
      </c>
      <c r="F27" s="6">
        <v>5</v>
      </c>
      <c r="G27" s="6">
        <v>3</v>
      </c>
      <c r="H27" s="6">
        <v>1</v>
      </c>
      <c r="I27" s="6">
        <v>1</v>
      </c>
      <c r="J27" s="6">
        <v>2024</v>
      </c>
    </row>
    <row r="28" spans="1:10" x14ac:dyDescent="0.25">
      <c r="A28" s="8">
        <v>27</v>
      </c>
      <c r="B28" s="7">
        <v>45318</v>
      </c>
      <c r="C28" s="6" t="s">
        <v>69</v>
      </c>
      <c r="D28" s="14">
        <v>-580</v>
      </c>
      <c r="E28" s="6" t="s">
        <v>43</v>
      </c>
      <c r="F28" s="6">
        <v>1</v>
      </c>
      <c r="G28" s="6">
        <v>3</v>
      </c>
      <c r="H28" s="6">
        <v>2</v>
      </c>
      <c r="I28" s="6">
        <v>1</v>
      </c>
      <c r="J28" s="6">
        <v>2024</v>
      </c>
    </row>
    <row r="29" spans="1:10" x14ac:dyDescent="0.25">
      <c r="A29" s="8">
        <v>28</v>
      </c>
      <c r="B29" s="7">
        <v>45319</v>
      </c>
      <c r="C29" s="6" t="s">
        <v>70</v>
      </c>
      <c r="D29" s="14">
        <v>4188</v>
      </c>
      <c r="E29" s="6" t="s">
        <v>21</v>
      </c>
      <c r="F29" s="6">
        <v>4</v>
      </c>
      <c r="G29" s="6">
        <v>1</v>
      </c>
      <c r="H29" s="6">
        <v>2</v>
      </c>
      <c r="I29" s="6">
        <v>1</v>
      </c>
      <c r="J29" s="6">
        <v>2024</v>
      </c>
    </row>
    <row r="30" spans="1:10" x14ac:dyDescent="0.25">
      <c r="A30" s="8">
        <v>29</v>
      </c>
      <c r="B30" s="7">
        <v>45320</v>
      </c>
      <c r="C30" s="6" t="s">
        <v>71</v>
      </c>
      <c r="D30" s="14">
        <v>-4662</v>
      </c>
      <c r="E30" s="6" t="s">
        <v>43</v>
      </c>
      <c r="F30" s="6">
        <v>3</v>
      </c>
      <c r="G30" s="6">
        <v>3</v>
      </c>
      <c r="H30" s="6">
        <v>1</v>
      </c>
      <c r="I30" s="6">
        <v>1</v>
      </c>
      <c r="J30" s="6">
        <v>2024</v>
      </c>
    </row>
    <row r="31" spans="1:10" x14ac:dyDescent="0.25">
      <c r="A31" s="8">
        <v>30</v>
      </c>
      <c r="B31" s="7">
        <v>45321</v>
      </c>
      <c r="C31" s="6" t="s">
        <v>72</v>
      </c>
      <c r="D31" s="14">
        <v>975</v>
      </c>
      <c r="E31" s="6" t="s">
        <v>21</v>
      </c>
      <c r="F31" s="6">
        <v>1</v>
      </c>
      <c r="G31" s="6">
        <v>2</v>
      </c>
      <c r="H31" s="6">
        <v>1</v>
      </c>
      <c r="I31" s="6">
        <v>1</v>
      </c>
      <c r="J31" s="6">
        <v>2024</v>
      </c>
    </row>
  </sheetData>
  <sheetProtection sheet="1" objects="1" scenario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812A9-473F-4153-8EC0-A5A3E735F0D0}">
  <sheetPr codeName="Planilha3"/>
  <dimension ref="A1:Z6"/>
  <sheetViews>
    <sheetView workbookViewId="0">
      <selection activeCell="B1" sqref="B1:B1048576"/>
    </sheetView>
  </sheetViews>
  <sheetFormatPr defaultRowHeight="15" x14ac:dyDescent="0.25"/>
  <cols>
    <col min="1" max="1" width="11.42578125" style="8" customWidth="1"/>
    <col min="2" max="2" width="22.7109375" style="6" bestFit="1" customWidth="1"/>
    <col min="3" max="3" width="11.7109375" style="6" bestFit="1" customWidth="1"/>
    <col min="4" max="4" width="8.5703125" style="6" customWidth="1"/>
    <col min="5" max="5" width="18.28515625" style="6" customWidth="1"/>
    <col min="6" max="6" width="16.7109375" style="6" customWidth="1"/>
    <col min="7" max="16384" width="9.140625" style="6"/>
  </cols>
  <sheetData>
    <row r="1" spans="1:26" x14ac:dyDescent="0.25">
      <c r="A1" s="9" t="s">
        <v>5</v>
      </c>
      <c r="B1" s="10" t="s">
        <v>8</v>
      </c>
      <c r="C1" s="10" t="s">
        <v>9</v>
      </c>
      <c r="D1" s="10" t="s">
        <v>10</v>
      </c>
      <c r="E1" s="10" t="s">
        <v>11</v>
      </c>
      <c r="F1" s="10" t="s">
        <v>12</v>
      </c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x14ac:dyDescent="0.25">
      <c r="A2" s="8">
        <v>1</v>
      </c>
      <c r="B2" s="6" t="s">
        <v>73</v>
      </c>
      <c r="C2" s="6" t="s">
        <v>22</v>
      </c>
      <c r="D2" s="6" t="s">
        <v>74</v>
      </c>
      <c r="E2" s="6">
        <v>1234</v>
      </c>
      <c r="F2" s="6" t="s">
        <v>23</v>
      </c>
    </row>
    <row r="3" spans="1:26" x14ac:dyDescent="0.25">
      <c r="A3" s="8">
        <v>2</v>
      </c>
      <c r="B3" s="6" t="s">
        <v>75</v>
      </c>
      <c r="C3" s="6" t="s">
        <v>22</v>
      </c>
      <c r="D3" s="6" t="s">
        <v>76</v>
      </c>
      <c r="E3" s="6">
        <v>2345</v>
      </c>
      <c r="F3" s="6" t="s">
        <v>41</v>
      </c>
    </row>
    <row r="4" spans="1:26" x14ac:dyDescent="0.25">
      <c r="A4" s="8">
        <v>3</v>
      </c>
      <c r="B4" s="6" t="s">
        <v>77</v>
      </c>
      <c r="C4" s="6" t="s">
        <v>22</v>
      </c>
      <c r="D4" s="6" t="s">
        <v>78</v>
      </c>
      <c r="E4" s="6">
        <v>3456</v>
      </c>
      <c r="F4" s="6" t="s">
        <v>79</v>
      </c>
    </row>
    <row r="5" spans="1:26" x14ac:dyDescent="0.25">
      <c r="A5" s="8">
        <v>4</v>
      </c>
      <c r="B5" s="6" t="s">
        <v>80</v>
      </c>
      <c r="C5" s="6" t="s">
        <v>24</v>
      </c>
      <c r="D5" s="6" t="s">
        <v>81</v>
      </c>
      <c r="E5" s="6">
        <v>4567</v>
      </c>
      <c r="F5" s="6" t="s">
        <v>82</v>
      </c>
    </row>
    <row r="6" spans="1:26" x14ac:dyDescent="0.25">
      <c r="A6" s="8">
        <v>5</v>
      </c>
      <c r="B6" s="6" t="s">
        <v>83</v>
      </c>
      <c r="C6" s="6" t="s">
        <v>22</v>
      </c>
      <c r="D6" s="6" t="s">
        <v>84</v>
      </c>
      <c r="E6" s="6">
        <v>5678</v>
      </c>
      <c r="F6" s="6" t="s">
        <v>85</v>
      </c>
    </row>
  </sheetData>
  <sheetProtection sheet="1" objects="1" scenario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77920-1DDC-4564-B239-2A9F5E775014}">
  <sheetPr codeName="Planilha8"/>
  <dimension ref="A1:Z11"/>
  <sheetViews>
    <sheetView workbookViewId="0">
      <selection activeCell="A2" sqref="A2:XFD5"/>
    </sheetView>
  </sheetViews>
  <sheetFormatPr defaultRowHeight="15" x14ac:dyDescent="0.25"/>
  <cols>
    <col min="1" max="1" width="11.7109375" style="8" customWidth="1"/>
    <col min="2" max="2" width="12.140625" style="6" customWidth="1"/>
    <col min="3" max="3" width="7.7109375" style="6" customWidth="1"/>
    <col min="4" max="4" width="11.42578125" style="6" customWidth="1"/>
    <col min="5" max="5" width="8.85546875" style="6" customWidth="1"/>
    <col min="6" max="16384" width="9.140625" style="6"/>
  </cols>
  <sheetData>
    <row r="1" spans="1:26" x14ac:dyDescent="0.25">
      <c r="A1" s="9" t="s">
        <v>19</v>
      </c>
      <c r="B1" s="10" t="s">
        <v>2</v>
      </c>
      <c r="C1" s="10" t="s">
        <v>3</v>
      </c>
      <c r="D1" s="10" t="s">
        <v>5</v>
      </c>
      <c r="E1" s="10" t="s">
        <v>20</v>
      </c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x14ac:dyDescent="0.25">
      <c r="A2" s="8">
        <v>1</v>
      </c>
      <c r="B2" s="6" t="s">
        <v>90</v>
      </c>
      <c r="C2" s="6">
        <v>13010</v>
      </c>
      <c r="D2" s="6">
        <v>4</v>
      </c>
      <c r="E2" s="6" t="s">
        <v>91</v>
      </c>
    </row>
    <row r="3" spans="1:26" x14ac:dyDescent="0.25">
      <c r="A3" s="8">
        <v>2</v>
      </c>
      <c r="B3" s="6" t="s">
        <v>92</v>
      </c>
      <c r="C3" s="6">
        <v>645</v>
      </c>
      <c r="D3" s="6">
        <v>3</v>
      </c>
      <c r="E3" s="6" t="s">
        <v>40</v>
      </c>
    </row>
    <row r="4" spans="1:26" x14ac:dyDescent="0.25">
      <c r="A4" s="8">
        <v>3</v>
      </c>
      <c r="B4" s="6" t="s">
        <v>93</v>
      </c>
      <c r="C4" s="6">
        <v>17901</v>
      </c>
      <c r="D4" s="6">
        <v>4</v>
      </c>
      <c r="E4" s="6" t="s">
        <v>91</v>
      </c>
    </row>
    <row r="5" spans="1:26" x14ac:dyDescent="0.25">
      <c r="A5" s="8">
        <v>4</v>
      </c>
      <c r="B5" s="6" t="s">
        <v>94</v>
      </c>
      <c r="C5" s="6">
        <v>15536</v>
      </c>
      <c r="D5" s="6">
        <v>4</v>
      </c>
      <c r="E5" s="6" t="s">
        <v>40</v>
      </c>
    </row>
    <row r="6" spans="1:26" x14ac:dyDescent="0.25">
      <c r="A6" s="8">
        <v>5</v>
      </c>
      <c r="B6" s="6" t="s">
        <v>95</v>
      </c>
      <c r="C6" s="6">
        <v>3786</v>
      </c>
      <c r="D6" s="6">
        <v>2</v>
      </c>
      <c r="E6" s="6" t="s">
        <v>91</v>
      </c>
    </row>
    <row r="7" spans="1:26" x14ac:dyDescent="0.25">
      <c r="A7" s="8">
        <v>6</v>
      </c>
      <c r="B7" s="6" t="s">
        <v>96</v>
      </c>
      <c r="C7" s="6">
        <v>1087</v>
      </c>
      <c r="D7" s="6">
        <v>5</v>
      </c>
      <c r="E7" s="6" t="s">
        <v>40</v>
      </c>
    </row>
    <row r="8" spans="1:26" x14ac:dyDescent="0.25">
      <c r="A8" s="8">
        <v>7</v>
      </c>
      <c r="B8" s="6" t="s">
        <v>97</v>
      </c>
      <c r="C8" s="6">
        <v>11956</v>
      </c>
      <c r="D8" s="6">
        <v>1</v>
      </c>
      <c r="E8" s="6" t="s">
        <v>91</v>
      </c>
    </row>
    <row r="9" spans="1:26" x14ac:dyDescent="0.25">
      <c r="A9" s="8">
        <v>8</v>
      </c>
      <c r="B9" s="6" t="s">
        <v>98</v>
      </c>
      <c r="C9" s="6">
        <v>14256</v>
      </c>
      <c r="D9" s="6">
        <v>2</v>
      </c>
      <c r="E9" s="6" t="s">
        <v>40</v>
      </c>
    </row>
    <row r="10" spans="1:26" x14ac:dyDescent="0.25">
      <c r="A10" s="8">
        <v>9</v>
      </c>
      <c r="B10" s="6" t="s">
        <v>99</v>
      </c>
      <c r="C10" s="6">
        <v>14285</v>
      </c>
      <c r="D10" s="6">
        <v>5</v>
      </c>
      <c r="E10" s="6" t="s">
        <v>91</v>
      </c>
    </row>
    <row r="11" spans="1:26" x14ac:dyDescent="0.25">
      <c r="A11" s="8">
        <v>10</v>
      </c>
      <c r="B11" s="6" t="s">
        <v>100</v>
      </c>
      <c r="C11" s="6">
        <v>4651</v>
      </c>
      <c r="D11" s="6">
        <v>3</v>
      </c>
      <c r="E11" s="6" t="s">
        <v>40</v>
      </c>
    </row>
  </sheetData>
  <sheetProtection sheet="1" objects="1" scenario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AD4E4-C905-4D2A-9829-F13F9EDCD4F3}">
  <sheetPr codeName="Planilha5"/>
  <dimension ref="A1:Z3"/>
  <sheetViews>
    <sheetView workbookViewId="0">
      <selection activeCell="A7" sqref="A7"/>
    </sheetView>
  </sheetViews>
  <sheetFormatPr defaultRowHeight="15" x14ac:dyDescent="0.25"/>
  <cols>
    <col min="1" max="1" width="16.42578125" style="8" customWidth="1"/>
    <col min="2" max="2" width="12.140625" style="6" customWidth="1"/>
    <col min="3" max="16384" width="9.140625" style="6"/>
  </cols>
  <sheetData>
    <row r="1" spans="1:26" x14ac:dyDescent="0.25">
      <c r="A1" s="9" t="s">
        <v>7</v>
      </c>
      <c r="B1" s="10" t="s">
        <v>2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x14ac:dyDescent="0.25">
      <c r="A2" s="8">
        <v>1</v>
      </c>
      <c r="B2" s="6" t="s">
        <v>31</v>
      </c>
    </row>
    <row r="3" spans="1:26" x14ac:dyDescent="0.25">
      <c r="A3" s="8">
        <v>2</v>
      </c>
      <c r="B3" s="6" t="s">
        <v>32</v>
      </c>
    </row>
  </sheetData>
  <sheetProtection sheet="1" objects="1" scenario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DF333-DF5A-4991-AFD3-33E72DE8F90E}">
  <sheetPr codeName="Planilha6"/>
  <dimension ref="A1:Z5"/>
  <sheetViews>
    <sheetView workbookViewId="0">
      <selection activeCell="A2" sqref="A2:XFD4"/>
    </sheetView>
  </sheetViews>
  <sheetFormatPr defaultRowHeight="15" x14ac:dyDescent="0.25"/>
  <cols>
    <col min="1" max="1" width="13.85546875" style="8" customWidth="1"/>
    <col min="2" max="2" width="24.28515625" style="6" bestFit="1" customWidth="1"/>
    <col min="3" max="3" width="7.7109375" style="6" customWidth="1"/>
    <col min="4" max="4" width="13.140625" style="6" customWidth="1"/>
    <col min="5" max="16384" width="9.140625" style="6"/>
  </cols>
  <sheetData>
    <row r="1" spans="1:26" x14ac:dyDescent="0.25">
      <c r="A1" s="9" t="s">
        <v>15</v>
      </c>
      <c r="B1" s="10" t="s">
        <v>2</v>
      </c>
      <c r="C1" s="10" t="s">
        <v>3</v>
      </c>
      <c r="D1" s="10" t="s">
        <v>16</v>
      </c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x14ac:dyDescent="0.25">
      <c r="A2" s="8">
        <v>1</v>
      </c>
      <c r="B2" s="6" t="s">
        <v>33</v>
      </c>
      <c r="C2" s="6">
        <v>1200</v>
      </c>
      <c r="D2" s="6" t="s">
        <v>34</v>
      </c>
    </row>
    <row r="3" spans="1:26" x14ac:dyDescent="0.25">
      <c r="A3" s="8">
        <v>2</v>
      </c>
      <c r="B3" s="6" t="s">
        <v>35</v>
      </c>
      <c r="C3" s="6">
        <v>2500</v>
      </c>
      <c r="D3" s="6" t="s">
        <v>34</v>
      </c>
    </row>
    <row r="4" spans="1:26" x14ac:dyDescent="0.25">
      <c r="A4" s="8">
        <v>3</v>
      </c>
      <c r="B4" s="6" t="s">
        <v>86</v>
      </c>
      <c r="C4" s="6">
        <v>800</v>
      </c>
      <c r="D4" s="6" t="s">
        <v>34</v>
      </c>
    </row>
    <row r="5" spans="1:26" x14ac:dyDescent="0.25">
      <c r="A5" s="8">
        <v>4</v>
      </c>
      <c r="B5" s="6" t="s">
        <v>87</v>
      </c>
      <c r="C5" s="6">
        <v>200</v>
      </c>
      <c r="D5" s="6" t="s">
        <v>34</v>
      </c>
    </row>
  </sheetData>
  <sheetProtection sheet="1" objects="1" scenario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9333B-06A5-4F54-8061-BF63ACB84ED3}">
  <sheetPr codeName="Planilha7"/>
  <dimension ref="A1:Z4"/>
  <sheetViews>
    <sheetView workbookViewId="0">
      <selection activeCell="A2" sqref="A2:XFD4"/>
    </sheetView>
  </sheetViews>
  <sheetFormatPr defaultRowHeight="15" x14ac:dyDescent="0.25"/>
  <cols>
    <col min="1" max="1" width="14" style="8" bestFit="1" customWidth="1"/>
    <col min="2" max="2" width="24.42578125" style="6" bestFit="1" customWidth="1"/>
    <col min="3" max="3" width="11.5703125" style="6" bestFit="1" customWidth="1"/>
    <col min="4" max="16384" width="9.140625" style="6"/>
  </cols>
  <sheetData>
    <row r="1" spans="1:26" x14ac:dyDescent="0.25">
      <c r="A1" s="9" t="s">
        <v>17</v>
      </c>
      <c r="B1" s="10" t="s">
        <v>18</v>
      </c>
      <c r="C1" s="10" t="s">
        <v>9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x14ac:dyDescent="0.25">
      <c r="A2" s="8">
        <v>1</v>
      </c>
      <c r="B2" s="6" t="s">
        <v>36</v>
      </c>
      <c r="C2" s="6" t="s">
        <v>37</v>
      </c>
    </row>
    <row r="3" spans="1:26" x14ac:dyDescent="0.25">
      <c r="A3" s="8">
        <v>2</v>
      </c>
      <c r="B3" s="6" t="s">
        <v>38</v>
      </c>
      <c r="C3" s="6" t="s">
        <v>39</v>
      </c>
    </row>
    <row r="4" spans="1:26" x14ac:dyDescent="0.25">
      <c r="A4" s="8">
        <v>3</v>
      </c>
      <c r="B4" s="6" t="s">
        <v>88</v>
      </c>
      <c r="C4" s="6" t="s">
        <v>89</v>
      </c>
    </row>
  </sheetData>
  <sheetProtection sheet="1" objects="1" scenario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30F0B-9792-458F-B7DE-208F353D53F7}">
  <sheetPr codeName="Planilha10"/>
  <dimension ref="A1:B4"/>
  <sheetViews>
    <sheetView workbookViewId="0">
      <selection activeCell="B5" sqref="B5"/>
    </sheetView>
  </sheetViews>
  <sheetFormatPr defaultRowHeight="15" x14ac:dyDescent="0.25"/>
  <cols>
    <col min="1" max="1" width="9.140625" style="8"/>
  </cols>
  <sheetData>
    <row r="1" spans="1:2" x14ac:dyDescent="0.25">
      <c r="A1" s="8" t="s">
        <v>108</v>
      </c>
      <c r="B1" t="s">
        <v>2</v>
      </c>
    </row>
    <row r="2" spans="1:2" x14ac:dyDescent="0.25">
      <c r="A2" s="8">
        <f t="shared" ref="A2:A4" si="0">ROW()-1</f>
        <v>1</v>
      </c>
      <c r="B2" t="s">
        <v>43</v>
      </c>
    </row>
    <row r="3" spans="1:2" x14ac:dyDescent="0.25">
      <c r="A3" s="8">
        <f t="shared" si="0"/>
        <v>2</v>
      </c>
      <c r="B3" t="s">
        <v>107</v>
      </c>
    </row>
    <row r="4" spans="1:2" x14ac:dyDescent="0.25">
      <c r="A4" s="8">
        <f t="shared" si="0"/>
        <v>3</v>
      </c>
      <c r="B4" t="s">
        <v>21</v>
      </c>
    </row>
  </sheetData>
  <sheetProtection sheet="1" objects="1" scenarios="1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EED58-2283-4071-A3CC-CD9F597B0403}">
  <sheetPr codeName="Planilha4"/>
  <dimension ref="A1:Z4"/>
  <sheetViews>
    <sheetView workbookViewId="0">
      <selection activeCell="A23" sqref="A23"/>
    </sheetView>
  </sheetViews>
  <sheetFormatPr defaultRowHeight="15" x14ac:dyDescent="0.25"/>
  <cols>
    <col min="1" max="1" width="21.140625" style="8" bestFit="1" customWidth="1"/>
    <col min="2" max="2" width="8.7109375" style="6" bestFit="1" customWidth="1"/>
    <col min="3" max="3" width="13.85546875" style="6" bestFit="1" customWidth="1"/>
    <col min="4" max="16384" width="9.140625" style="6"/>
  </cols>
  <sheetData>
    <row r="1" spans="1:26" x14ac:dyDescent="0.25">
      <c r="A1" s="9" t="s">
        <v>6</v>
      </c>
      <c r="B1" s="10" t="s">
        <v>13</v>
      </c>
      <c r="C1" s="10" t="s">
        <v>14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x14ac:dyDescent="0.25">
      <c r="A2" s="8">
        <v>1</v>
      </c>
      <c r="B2" s="6" t="s">
        <v>25</v>
      </c>
      <c r="C2" s="6" t="s">
        <v>26</v>
      </c>
    </row>
    <row r="3" spans="1:26" x14ac:dyDescent="0.25">
      <c r="A3" s="8">
        <v>2</v>
      </c>
      <c r="B3" s="6" t="s">
        <v>27</v>
      </c>
      <c r="C3" s="6" t="s">
        <v>28</v>
      </c>
    </row>
    <row r="4" spans="1:26" x14ac:dyDescent="0.25">
      <c r="A4" s="8">
        <v>3</v>
      </c>
      <c r="B4" s="6" t="s">
        <v>29</v>
      </c>
      <c r="C4" s="6" t="s">
        <v>30</v>
      </c>
    </row>
  </sheetData>
  <sheetProtection sheet="1" objects="1" scenario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B6015-8A61-495F-BB06-F9CE1B7E1A47}">
  <sheetPr codeName="Planilha11"/>
  <dimension ref="A1:Z21"/>
  <sheetViews>
    <sheetView topLeftCell="B1" workbookViewId="0">
      <selection activeCell="D23" sqref="D23"/>
    </sheetView>
  </sheetViews>
  <sheetFormatPr defaultRowHeight="15" x14ac:dyDescent="0.25"/>
  <cols>
    <col min="1" max="1" width="18.42578125" bestFit="1" customWidth="1"/>
    <col min="2" max="2" width="13.85546875" bestFit="1" customWidth="1"/>
    <col min="3" max="3" width="8" bestFit="1" customWidth="1"/>
    <col min="4" max="4" width="22.7109375" bestFit="1" customWidth="1"/>
    <col min="5" max="5" width="13.85546875" bestFit="1" customWidth="1"/>
    <col min="6" max="6" width="10.42578125" bestFit="1" customWidth="1"/>
    <col min="7" max="7" width="18.85546875" bestFit="1" customWidth="1"/>
    <col min="8" max="8" width="13.85546875" bestFit="1" customWidth="1"/>
    <col min="9" max="9" width="10.42578125" bestFit="1" customWidth="1"/>
    <col min="10" max="10" width="24.28515625" bestFit="1" customWidth="1"/>
    <col min="11" max="11" width="13.85546875" bestFit="1" customWidth="1"/>
    <col min="12" max="31" width="10.42578125" bestFit="1" customWidth="1"/>
    <col min="32" max="32" width="10.7109375" bestFit="1" customWidth="1"/>
  </cols>
  <sheetData>
    <row r="1" spans="1:26" x14ac:dyDescent="0.25">
      <c r="A1" s="11" t="s">
        <v>104</v>
      </c>
      <c r="B1" s="12">
        <v>1</v>
      </c>
      <c r="C1" s="11"/>
      <c r="D1" s="11" t="s">
        <v>101</v>
      </c>
      <c r="E1" s="11" t="s">
        <v>103</v>
      </c>
      <c r="F1" s="11"/>
      <c r="G1" s="11" t="s">
        <v>105</v>
      </c>
      <c r="H1" s="12">
        <v>2024</v>
      </c>
      <c r="I1" s="11"/>
      <c r="J1" s="11" t="s">
        <v>16</v>
      </c>
      <c r="K1" s="11" t="s">
        <v>106</v>
      </c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</row>
    <row r="2" spans="1:26" x14ac:dyDescent="0.25">
      <c r="A2" s="1" t="s">
        <v>105</v>
      </c>
      <c r="B2" s="2">
        <v>2024</v>
      </c>
      <c r="D2" s="2" t="s">
        <v>73</v>
      </c>
      <c r="E2" s="3">
        <v>4593</v>
      </c>
      <c r="G2" s="1" t="s">
        <v>104</v>
      </c>
      <c r="H2" s="2">
        <v>1</v>
      </c>
    </row>
    <row r="3" spans="1:26" x14ac:dyDescent="0.25">
      <c r="D3" s="2" t="s">
        <v>75</v>
      </c>
      <c r="E3" s="3">
        <v>2857</v>
      </c>
      <c r="G3" s="1" t="s">
        <v>7</v>
      </c>
      <c r="H3" t="s">
        <v>106</v>
      </c>
      <c r="J3" s="1" t="s">
        <v>101</v>
      </c>
      <c r="K3" t="s">
        <v>103</v>
      </c>
    </row>
    <row r="4" spans="1:26" x14ac:dyDescent="0.25">
      <c r="A4" s="1" t="s">
        <v>101</v>
      </c>
      <c r="B4" t="s">
        <v>103</v>
      </c>
      <c r="D4" s="2" t="s">
        <v>77</v>
      </c>
      <c r="E4" s="3">
        <v>-8916</v>
      </c>
      <c r="G4" s="1" t="s">
        <v>6</v>
      </c>
      <c r="H4" t="s">
        <v>27</v>
      </c>
      <c r="J4" s="2" t="s">
        <v>35</v>
      </c>
      <c r="K4" s="3">
        <v>2500</v>
      </c>
    </row>
    <row r="5" spans="1:26" x14ac:dyDescent="0.25">
      <c r="A5" s="2" t="s">
        <v>43</v>
      </c>
      <c r="B5">
        <v>-27196</v>
      </c>
      <c r="D5" s="2" t="s">
        <v>80</v>
      </c>
      <c r="E5" s="3">
        <v>16990</v>
      </c>
      <c r="J5" s="2" t="s">
        <v>87</v>
      </c>
      <c r="K5" s="3">
        <v>200</v>
      </c>
    </row>
    <row r="6" spans="1:26" x14ac:dyDescent="0.25">
      <c r="A6" s="2" t="s">
        <v>21</v>
      </c>
      <c r="B6">
        <v>41470</v>
      </c>
      <c r="D6" s="2" t="s">
        <v>83</v>
      </c>
      <c r="E6" s="3">
        <v>-1250</v>
      </c>
      <c r="G6" s="1" t="s">
        <v>101</v>
      </c>
      <c r="H6" t="s">
        <v>103</v>
      </c>
      <c r="J6" s="2" t="s">
        <v>33</v>
      </c>
      <c r="K6" s="3">
        <v>1200</v>
      </c>
    </row>
    <row r="7" spans="1:26" x14ac:dyDescent="0.25">
      <c r="A7" s="2" t="s">
        <v>102</v>
      </c>
      <c r="B7">
        <v>14274</v>
      </c>
      <c r="D7" s="2" t="s">
        <v>102</v>
      </c>
      <c r="E7" s="3">
        <v>14274</v>
      </c>
      <c r="G7" s="2" t="s">
        <v>42</v>
      </c>
      <c r="H7" s="3">
        <v>-1564</v>
      </c>
      <c r="J7" s="2" t="s">
        <v>86</v>
      </c>
      <c r="K7" s="3">
        <v>800</v>
      </c>
    </row>
    <row r="8" spans="1:26" x14ac:dyDescent="0.25">
      <c r="G8" s="2" t="s">
        <v>52</v>
      </c>
      <c r="H8" s="3">
        <v>2632</v>
      </c>
      <c r="J8" s="2" t="s">
        <v>102</v>
      </c>
      <c r="K8" s="3">
        <v>4700</v>
      </c>
    </row>
    <row r="9" spans="1:26" x14ac:dyDescent="0.25">
      <c r="G9" s="2" t="s">
        <v>53</v>
      </c>
      <c r="H9" s="3">
        <v>-920</v>
      </c>
    </row>
    <row r="10" spans="1:26" x14ac:dyDescent="0.25">
      <c r="G10" s="2" t="s">
        <v>54</v>
      </c>
      <c r="H10" s="3">
        <v>845</v>
      </c>
    </row>
    <row r="11" spans="1:26" x14ac:dyDescent="0.25">
      <c r="G11" s="2" t="s">
        <v>60</v>
      </c>
      <c r="H11" s="3">
        <v>4356</v>
      </c>
    </row>
    <row r="12" spans="1:26" x14ac:dyDescent="0.25">
      <c r="G12" s="2" t="s">
        <v>61</v>
      </c>
      <c r="H12" s="3">
        <v>-733</v>
      </c>
    </row>
    <row r="13" spans="1:26" x14ac:dyDescent="0.25">
      <c r="A13" s="1" t="s">
        <v>20</v>
      </c>
      <c r="B13" t="s">
        <v>40</v>
      </c>
      <c r="G13" s="2" t="s">
        <v>44</v>
      </c>
      <c r="H13" s="3">
        <v>2118</v>
      </c>
    </row>
    <row r="14" spans="1:26" x14ac:dyDescent="0.25">
      <c r="G14" s="2" t="s">
        <v>64</v>
      </c>
      <c r="H14" s="3">
        <v>3069</v>
      </c>
    </row>
    <row r="15" spans="1:26" x14ac:dyDescent="0.25">
      <c r="A15" s="1" t="s">
        <v>101</v>
      </c>
      <c r="B15" t="s">
        <v>103</v>
      </c>
      <c r="G15" s="2" t="s">
        <v>65</v>
      </c>
      <c r="H15" s="3">
        <v>-1522</v>
      </c>
    </row>
    <row r="16" spans="1:26" x14ac:dyDescent="0.25">
      <c r="A16" s="2" t="s">
        <v>92</v>
      </c>
      <c r="B16">
        <v>645</v>
      </c>
      <c r="G16" s="2" t="s">
        <v>66</v>
      </c>
      <c r="H16" s="3">
        <v>2171</v>
      </c>
    </row>
    <row r="17" spans="1:8" x14ac:dyDescent="0.25">
      <c r="A17" s="2" t="s">
        <v>96</v>
      </c>
      <c r="B17">
        <v>1087</v>
      </c>
      <c r="G17" s="2" t="s">
        <v>72</v>
      </c>
      <c r="H17" s="3">
        <v>975</v>
      </c>
    </row>
    <row r="18" spans="1:8" x14ac:dyDescent="0.25">
      <c r="A18" s="2" t="s">
        <v>100</v>
      </c>
      <c r="B18">
        <v>4651</v>
      </c>
      <c r="G18" s="2" t="s">
        <v>49</v>
      </c>
      <c r="H18" s="3">
        <v>-3018</v>
      </c>
    </row>
    <row r="19" spans="1:8" x14ac:dyDescent="0.25">
      <c r="A19" s="2" t="s">
        <v>98</v>
      </c>
      <c r="B19">
        <v>14256</v>
      </c>
      <c r="G19" s="2" t="s">
        <v>51</v>
      </c>
      <c r="H19" s="3">
        <v>-271</v>
      </c>
    </row>
    <row r="20" spans="1:8" x14ac:dyDescent="0.25">
      <c r="A20" s="2" t="s">
        <v>94</v>
      </c>
      <c r="B20">
        <v>15536</v>
      </c>
      <c r="G20" s="2" t="s">
        <v>102</v>
      </c>
      <c r="H20" s="3">
        <v>8138</v>
      </c>
    </row>
    <row r="21" spans="1:8" x14ac:dyDescent="0.25">
      <c r="A21" s="2" t="s">
        <v>102</v>
      </c>
      <c r="B21">
        <v>36175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A5F33-3233-496E-92BE-D92CEB4EBCCE}">
  <sheetPr codeName="Planilha9"/>
  <dimension ref="A1:Z1"/>
  <sheetViews>
    <sheetView showGridLines="0" zoomScale="85" zoomScaleNormal="85" workbookViewId="0">
      <selection activeCell="S2" sqref="S2"/>
    </sheetView>
  </sheetViews>
  <sheetFormatPr defaultColWidth="0" defaultRowHeight="15" x14ac:dyDescent="0.25"/>
  <cols>
    <col min="1" max="1" width="28" style="5" customWidth="1"/>
    <col min="2" max="22" width="9.140625" style="4" customWidth="1"/>
    <col min="23" max="16384" width="9.140625" hidden="1"/>
  </cols>
  <sheetData>
    <row r="1" spans="1:26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ddAno">
              <controlPr defaultSize="0" autoFill="0" autoPict="0" macro="[0]!AplicarFiltros">
                <anchor moveWithCells="1">
                  <from>
                    <xdr:col>0</xdr:col>
                    <xdr:colOff>114300</xdr:colOff>
                    <xdr:row>8</xdr:row>
                    <xdr:rowOff>171450</xdr:rowOff>
                  </from>
                  <to>
                    <xdr:col>0</xdr:col>
                    <xdr:colOff>1552575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ddEstadoDivida">
              <controlPr defaultSize="0" autoFill="0" autoPict="0" macro="[0]!AplicarFiltros">
                <anchor moveWithCells="1">
                  <from>
                    <xdr:col>0</xdr:col>
                    <xdr:colOff>95250</xdr:colOff>
                    <xdr:row>16</xdr:row>
                    <xdr:rowOff>0</xdr:rowOff>
                  </from>
                  <to>
                    <xdr:col>0</xdr:col>
                    <xdr:colOff>1533525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ddMes">
              <controlPr defaultSize="0" autoFill="0" autoPict="0" macro="[0]!AplicarFiltros">
                <anchor moveWithCells="1">
                  <from>
                    <xdr:col>0</xdr:col>
                    <xdr:colOff>104775</xdr:colOff>
                    <xdr:row>12</xdr:row>
                    <xdr:rowOff>38100</xdr:rowOff>
                  </from>
                  <to>
                    <xdr:col>0</xdr:col>
                    <xdr:colOff>1543050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ddMembros">
              <controlPr defaultSize="0" autoFill="0" autoPict="0" macro="[0]!AplicarFiltros">
                <anchor moveWithCells="1">
                  <from>
                    <xdr:col>0</xdr:col>
                    <xdr:colOff>95250</xdr:colOff>
                    <xdr:row>19</xdr:row>
                    <xdr:rowOff>171450</xdr:rowOff>
                  </from>
                  <to>
                    <xdr:col>0</xdr:col>
                    <xdr:colOff>1533525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Transações</vt:lpstr>
      <vt:lpstr>Contas</vt:lpstr>
      <vt:lpstr>Dívidas</vt:lpstr>
      <vt:lpstr>Tipos de Renda</vt:lpstr>
      <vt:lpstr>Despesas Fixas</vt:lpstr>
      <vt:lpstr>Empresas de Trabalho</vt:lpstr>
      <vt:lpstr>ListaSuspensaTransacoes</vt:lpstr>
      <vt:lpstr>Família</vt:lpstr>
      <vt:lpstr>Controller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 Khalil</dc:creator>
  <cp:lastModifiedBy>Raja Khalil</cp:lastModifiedBy>
  <dcterms:created xsi:type="dcterms:W3CDTF">2024-12-07T13:24:59Z</dcterms:created>
  <dcterms:modified xsi:type="dcterms:W3CDTF">2024-12-08T00:43:28Z</dcterms:modified>
</cp:coreProperties>
</file>